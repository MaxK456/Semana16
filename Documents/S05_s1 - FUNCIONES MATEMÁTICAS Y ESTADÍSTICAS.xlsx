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embeddings/oleObject2.bin" ContentType="application/vnd.openxmlformats-officedocument.oleObject"/>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AB-USR-LSUR\Documents\"/>
    </mc:Choice>
  </mc:AlternateContent>
  <bookViews>
    <workbookView xWindow="0" yWindow="0" windowWidth="28800" windowHeight="13500" tabRatio="759" activeTab="6"/>
  </bookViews>
  <sheets>
    <sheet name="TEMA" sheetId="20" r:id="rId1"/>
    <sheet name="∑ Autosuma" sheetId="21" r:id="rId2"/>
    <sheet name="1" sheetId="18" r:id="rId3"/>
    <sheet name="2" sheetId="1" r:id="rId4"/>
    <sheet name="3" sheetId="19" r:id="rId5"/>
    <sheet name="4" sheetId="14" r:id="rId6"/>
    <sheet name="5" sheetId="25" r:id="rId7"/>
    <sheet name="GRUPAL" sheetId="24" r:id="rId8"/>
    <sheet name="TECLADO" sheetId="23" r:id="rId9"/>
  </sheets>
  <definedNames>
    <definedName name="_xlnm._FilterDatabase" localSheetId="3" hidden="1">'2'!$A$4:$J$55</definedName>
    <definedName name="_xlnm._FilterDatabase" localSheetId="6" hidden="1">'5'!$A$3:$H$51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25" l="1"/>
  <c r="Q19" i="14"/>
  <c r="Q15" i="14"/>
  <c r="Q11" i="14"/>
  <c r="Q7" i="14"/>
  <c r="L7" i="14"/>
  <c r="L11" i="14"/>
  <c r="L15" i="14"/>
  <c r="L19" i="14"/>
  <c r="O35" i="1"/>
  <c r="O44" i="1"/>
  <c r="D23" i="19"/>
  <c r="J5" i="19"/>
  <c r="J6" i="19"/>
  <c r="J7" i="19"/>
  <c r="J8" i="19"/>
  <c r="J9" i="19"/>
  <c r="J10" i="19"/>
  <c r="J11" i="19"/>
  <c r="J12" i="19"/>
  <c r="J13" i="19"/>
  <c r="J14" i="19"/>
  <c r="J15" i="19"/>
  <c r="J16" i="19"/>
  <c r="J17" i="19"/>
  <c r="J18" i="19"/>
  <c r="J19" i="19"/>
  <c r="J20" i="19"/>
  <c r="J21" i="19"/>
  <c r="J22" i="19"/>
  <c r="J23" i="19"/>
  <c r="J24" i="19"/>
  <c r="J25" i="19"/>
  <c r="J26" i="19"/>
  <c r="J27" i="19"/>
  <c r="J28" i="19"/>
  <c r="J4" i="19"/>
  <c r="O26" i="1"/>
  <c r="O17" i="1"/>
  <c r="O8"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6"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7" i="1"/>
  <c r="I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6" i="1"/>
  <c r="H6" i="1" s="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6"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I5" i="18"/>
  <c r="G5" i="18"/>
  <c r="R20" i="21"/>
  <c r="R13" i="21"/>
  <c r="R6" i="21"/>
  <c r="N19" i="21"/>
  <c r="I15" i="21"/>
  <c r="H51" i="25" l="1"/>
  <c r="H49" i="25"/>
  <c r="H50" i="25"/>
  <c r="H46" i="25"/>
  <c r="H48" i="25"/>
  <c r="H47" i="25"/>
  <c r="H45" i="25"/>
  <c r="H42" i="25"/>
  <c r="H41" i="25"/>
  <c r="H44" i="25"/>
  <c r="H43" i="25"/>
  <c r="H40" i="25"/>
  <c r="H38" i="25"/>
  <c r="H34" i="25"/>
  <c r="H28" i="25"/>
  <c r="H39" i="25"/>
  <c r="H30" i="25"/>
  <c r="H29" i="25"/>
  <c r="H32" i="25"/>
  <c r="H37" i="25"/>
  <c r="H36" i="25"/>
  <c r="H35" i="25"/>
  <c r="H33" i="25"/>
  <c r="H31" i="25"/>
  <c r="H21" i="25"/>
  <c r="H26" i="25"/>
  <c r="H15" i="25"/>
  <c r="H17" i="25"/>
  <c r="H27" i="25"/>
  <c r="H20" i="25"/>
  <c r="H19" i="25"/>
  <c r="H25" i="25"/>
  <c r="H18" i="25"/>
  <c r="H23" i="25"/>
  <c r="H16" i="25"/>
  <c r="H24" i="25"/>
  <c r="H22" i="25"/>
  <c r="H13" i="25"/>
  <c r="H14" i="25"/>
  <c r="H4" i="25"/>
  <c r="H7" i="25"/>
  <c r="H6" i="25"/>
  <c r="H5" i="25"/>
  <c r="H8" i="25"/>
  <c r="H9" i="25"/>
  <c r="H10" i="25"/>
  <c r="H12" i="25"/>
  <c r="H11" i="25"/>
  <c r="H9" i="14"/>
  <c r="H22" i="14"/>
  <c r="H29" i="14"/>
  <c r="H38" i="14"/>
  <c r="H49" i="14"/>
  <c r="H32" i="14"/>
  <c r="H46" i="14"/>
  <c r="H24" i="14"/>
  <c r="H27" i="14"/>
  <c r="H10" i="14"/>
  <c r="H30" i="14"/>
  <c r="H43" i="14"/>
  <c r="H44" i="14"/>
  <c r="H31" i="14"/>
  <c r="H13" i="14"/>
  <c r="H47" i="14"/>
  <c r="H42" i="14"/>
  <c r="H17" i="14"/>
  <c r="H40" i="14"/>
  <c r="H28" i="14"/>
  <c r="H50" i="14"/>
  <c r="H21" i="14"/>
  <c r="H33" i="14"/>
  <c r="H48" i="14"/>
  <c r="H11" i="14"/>
  <c r="H8" i="14"/>
  <c r="H7" i="14"/>
  <c r="H20" i="14"/>
  <c r="H4" i="14"/>
  <c r="H39" i="14"/>
  <c r="H36" i="14"/>
  <c r="H23" i="14"/>
  <c r="H34" i="14"/>
  <c r="H25" i="14"/>
  <c r="H45" i="14"/>
  <c r="H12" i="14"/>
  <c r="H19" i="14"/>
  <c r="H15" i="14"/>
  <c r="H18" i="14"/>
  <c r="H16" i="14"/>
  <c r="H26" i="14"/>
  <c r="H41" i="14"/>
  <c r="H6" i="14"/>
  <c r="H37" i="14"/>
  <c r="H14" i="14"/>
  <c r="H35" i="14"/>
  <c r="H5" i="14"/>
  <c r="H51" i="14"/>
</calcChain>
</file>

<file path=xl/sharedStrings.xml><?xml version="1.0" encoding="utf-8"?>
<sst xmlns="http://schemas.openxmlformats.org/spreadsheetml/2006/main" count="8116" uniqueCount="1284">
  <si>
    <t>SUMA DE VALORES</t>
  </si>
  <si>
    <t>PROMEDIO DE VALORES</t>
  </si>
  <si>
    <t>PRODUCTO</t>
  </si>
  <si>
    <t>MARCA</t>
  </si>
  <si>
    <t>UBICACIÓN</t>
  </si>
  <si>
    <t>STOCK</t>
  </si>
  <si>
    <t>PRESENTACIÓN</t>
  </si>
  <si>
    <t>PRECIO</t>
  </si>
  <si>
    <t>CONTAR NÚMEROS</t>
  </si>
  <si>
    <t>Gaseosa</t>
  </si>
  <si>
    <t>Del Valle</t>
  </si>
  <si>
    <t>Almacén1</t>
  </si>
  <si>
    <t>BOTELLA</t>
  </si>
  <si>
    <t>Atún</t>
  </si>
  <si>
    <t>Florida</t>
  </si>
  <si>
    <t>Sprite</t>
  </si>
  <si>
    <t>Jealsa Rianxeira</t>
  </si>
  <si>
    <t>Pepsi</t>
  </si>
  <si>
    <t>Carrefour</t>
  </si>
  <si>
    <t>CANTIDAD DE PRECIOS DEFINIDOS PARA ATÚN</t>
  </si>
  <si>
    <t>Minute Maid</t>
  </si>
  <si>
    <t>El Corte Inglés-Aliada</t>
  </si>
  <si>
    <t>Schweppes</t>
  </si>
  <si>
    <t>Consorcio</t>
  </si>
  <si>
    <t>Powerade</t>
  </si>
  <si>
    <t>Almacén2</t>
  </si>
  <si>
    <t>Ortiz</t>
  </si>
  <si>
    <t>Coca-Cola Zero</t>
  </si>
  <si>
    <t>Frinsa</t>
  </si>
  <si>
    <t>MAYOR VALOR</t>
  </si>
  <si>
    <t>Coca-Cola</t>
  </si>
  <si>
    <t>Conservas Garavilla-Isabel</t>
  </si>
  <si>
    <t>Coca-Cola Light</t>
  </si>
  <si>
    <t>Almacén3</t>
  </si>
  <si>
    <t>Alcampo</t>
  </si>
  <si>
    <t>Aquarius</t>
  </si>
  <si>
    <t>Albo</t>
  </si>
  <si>
    <t>MAYOR PRECIO DEL PRODUCTO ATÚN</t>
  </si>
  <si>
    <t>Fanta</t>
  </si>
  <si>
    <t>Salica - Campos</t>
  </si>
  <si>
    <t>TOTAL DE BOTELLAS ALMACENADAS</t>
  </si>
  <si>
    <t>Eroski</t>
  </si>
  <si>
    <t>Calvo</t>
  </si>
  <si>
    <t>Lidl - Nixe</t>
  </si>
  <si>
    <t>MENOR VALOR</t>
  </si>
  <si>
    <t>Mercadona-Hacendado</t>
  </si>
  <si>
    <t>PROMEDIO DE PRECIOS DE ATÚN</t>
  </si>
  <si>
    <t>MENOR PRECIO DEL PRODUCTO ATÚN</t>
  </si>
  <si>
    <t>IGV</t>
  </si>
  <si>
    <r>
      <t>&lt;- Referencia absoluta (</t>
    </r>
    <r>
      <rPr>
        <b/>
        <sz val="12"/>
        <rFont val="Calibri"/>
        <family val="2"/>
        <scheme val="minor"/>
      </rPr>
      <t>F4</t>
    </r>
    <r>
      <rPr>
        <b/>
        <sz val="12"/>
        <color rgb="FFFF0000"/>
        <rFont val="Calibri"/>
        <family val="2"/>
        <scheme val="minor"/>
      </rPr>
      <t xml:space="preserve">  ó  </t>
    </r>
    <r>
      <rPr>
        <i/>
        <sz val="12"/>
        <color rgb="FFFF0000"/>
        <rFont val="Calibri"/>
        <family val="2"/>
        <scheme val="minor"/>
      </rPr>
      <t xml:space="preserve"> </t>
    </r>
    <r>
      <rPr>
        <b/>
        <i/>
        <sz val="12"/>
        <rFont val="Calibri"/>
        <family val="2"/>
        <scheme val="minor"/>
      </rPr>
      <t>Fn + F4</t>
    </r>
    <r>
      <rPr>
        <b/>
        <sz val="12"/>
        <color rgb="FFFF0000"/>
        <rFont val="Calibri"/>
        <family val="2"/>
        <scheme val="minor"/>
      </rPr>
      <t>)</t>
    </r>
  </si>
  <si>
    <t>REGISTRO DE VENTAS DEL MES</t>
  </si>
  <si>
    <t>FUNCIÓN PRODUCTO</t>
  </si>
  <si>
    <t>FUNCIÓN SUMA</t>
  </si>
  <si>
    <t>CANTIDAD</t>
  </si>
  <si>
    <t>MONTO SIN IGV</t>
  </si>
  <si>
    <t>MONTO CON IGV</t>
  </si>
  <si>
    <t>Arroz</t>
  </si>
  <si>
    <t>La Siembra</t>
  </si>
  <si>
    <t>SACO</t>
  </si>
  <si>
    <t>Costeño Graneadito</t>
  </si>
  <si>
    <t>Aceite</t>
  </si>
  <si>
    <t>Coco</t>
  </si>
  <si>
    <t>LATA</t>
  </si>
  <si>
    <t>Rompe Olla</t>
  </si>
  <si>
    <t>BOLSA</t>
  </si>
  <si>
    <t>Valle Sol</t>
  </si>
  <si>
    <t>Leche</t>
  </si>
  <si>
    <t>Gloria</t>
  </si>
  <si>
    <t>CAJA</t>
  </si>
  <si>
    <t>Anchor</t>
  </si>
  <si>
    <t xml:space="preserve"> IGV</t>
  </si>
  <si>
    <t>Valle del Norte</t>
  </si>
  <si>
    <t>Argán</t>
  </si>
  <si>
    <t>Ideal</t>
  </si>
  <si>
    <t>Girasol</t>
  </si>
  <si>
    <t>Linaza</t>
  </si>
  <si>
    <t>FRASCO</t>
  </si>
  <si>
    <t>Nuez</t>
  </si>
  <si>
    <t>Sésamo</t>
  </si>
  <si>
    <t>Soja</t>
  </si>
  <si>
    <t>Bell’s</t>
  </si>
  <si>
    <t>Vida</t>
  </si>
  <si>
    <t>Molino Rojo</t>
  </si>
  <si>
    <t>Paisana del sur</t>
  </si>
  <si>
    <t>Paisana del Norte</t>
  </si>
  <si>
    <t>Canola</t>
  </si>
  <si>
    <t>Conservas Garavilla</t>
  </si>
  <si>
    <t>Hoja Redonda</t>
  </si>
  <si>
    <t>REGISTRO AUXILIAR</t>
  </si>
  <si>
    <t>FUNCIÓN PROMEDIO</t>
  </si>
  <si>
    <t>FUNCIÓN ENTERO</t>
  </si>
  <si>
    <t>FUNCIÓN REDONDEAR</t>
  </si>
  <si>
    <t>BONO</t>
  </si>
  <si>
    <t xml:space="preserve">                          EXÁMENES
ALUMNOS
MATRICULADOS</t>
  </si>
  <si>
    <t>PC1</t>
  </si>
  <si>
    <t>PC2</t>
  </si>
  <si>
    <t>PC3</t>
  </si>
  <si>
    <t>PC4</t>
  </si>
  <si>
    <t>EF</t>
  </si>
  <si>
    <r>
      <t xml:space="preserve">PROMEDIO DE NOTAS
</t>
    </r>
    <r>
      <rPr>
        <b/>
        <sz val="9"/>
        <color theme="1"/>
        <rFont val="Calibri"/>
        <family val="2"/>
        <scheme val="minor"/>
      </rPr>
      <t xml:space="preserve"> (PC1/PC2/PC3/PC4/EF)</t>
    </r>
    <r>
      <rPr>
        <b/>
        <sz val="11"/>
        <color theme="1"/>
        <rFont val="Calibri"/>
        <family val="2"/>
        <scheme val="minor"/>
      </rPr>
      <t xml:space="preserve">
</t>
    </r>
  </si>
  <si>
    <r>
      <t xml:space="preserve">PROMEDIO
</t>
    </r>
    <r>
      <rPr>
        <b/>
        <sz val="10"/>
        <color theme="1"/>
        <rFont val="Calibri"/>
        <family val="2"/>
        <scheme val="minor"/>
      </rPr>
      <t xml:space="preserve"> (</t>
    </r>
    <r>
      <rPr>
        <b/>
        <sz val="10"/>
        <color rgb="FFFF0000"/>
        <rFont val="Calibri"/>
        <family val="2"/>
        <scheme val="minor"/>
      </rPr>
      <t>descarta</t>
    </r>
    <r>
      <rPr>
        <b/>
        <sz val="10"/>
        <color theme="1"/>
        <rFont val="Calibri"/>
        <family val="2"/>
        <scheme val="minor"/>
      </rPr>
      <t xml:space="preserve"> la parte decimal)
</t>
    </r>
    <r>
      <rPr>
        <b/>
        <sz val="6"/>
        <color theme="1"/>
        <rFont val="Calibri"/>
        <family val="2"/>
        <scheme val="minor"/>
      </rPr>
      <t>--------------------------------</t>
    </r>
    <r>
      <rPr>
        <b/>
        <sz val="8"/>
        <color theme="1"/>
        <rFont val="Calibri"/>
        <family val="2"/>
        <scheme val="minor"/>
      </rPr>
      <t xml:space="preserve">
DEJA LA PARTE ENTERA de </t>
    </r>
    <r>
      <rPr>
        <b/>
        <sz val="10"/>
        <color rgb="FFFFFF00"/>
        <rFont val="Calibri"/>
        <family val="2"/>
        <scheme val="minor"/>
      </rPr>
      <t>H6</t>
    </r>
  </si>
  <si>
    <r>
      <t xml:space="preserve">PROMEDIO
</t>
    </r>
    <r>
      <rPr>
        <b/>
        <sz val="10"/>
        <color theme="1"/>
        <rFont val="Calibri"/>
        <family val="2"/>
        <scheme val="minor"/>
      </rPr>
      <t xml:space="preserve"> (</t>
    </r>
    <r>
      <rPr>
        <b/>
        <sz val="10"/>
        <color rgb="FF0070C0"/>
        <rFont val="Calibri"/>
        <family val="2"/>
        <scheme val="minor"/>
      </rPr>
      <t>considera</t>
    </r>
    <r>
      <rPr>
        <b/>
        <sz val="10"/>
        <color theme="1"/>
        <rFont val="Calibri"/>
        <family val="2"/>
        <scheme val="minor"/>
      </rPr>
      <t xml:space="preserve"> la parte decimal) 
</t>
    </r>
    <r>
      <rPr>
        <b/>
        <sz val="6"/>
        <color theme="1"/>
        <rFont val="Calibri"/>
        <family val="2"/>
        <scheme val="minor"/>
      </rPr>
      <t>--------------------------------</t>
    </r>
    <r>
      <rPr>
        <b/>
        <sz val="10"/>
        <color theme="1"/>
        <rFont val="Calibri"/>
        <family val="2"/>
        <scheme val="minor"/>
      </rPr>
      <t xml:space="preserve">
</t>
    </r>
    <r>
      <rPr>
        <b/>
        <sz val="8"/>
        <color theme="1"/>
        <rFont val="Calibri"/>
        <family val="2"/>
        <scheme val="minor"/>
      </rPr>
      <t xml:space="preserve">REDONDEA </t>
    </r>
    <r>
      <rPr>
        <b/>
        <sz val="10"/>
        <color rgb="FFFFFF00"/>
        <rFont val="Calibri"/>
        <family val="2"/>
        <scheme val="minor"/>
      </rPr>
      <t>H6</t>
    </r>
    <r>
      <rPr>
        <b/>
        <sz val="8"/>
        <color theme="1"/>
        <rFont val="Calibri"/>
        <family val="2"/>
        <scheme val="minor"/>
      </rPr>
      <t xml:space="preserve"> A 2 DÍGITOS</t>
    </r>
  </si>
  <si>
    <r>
      <t xml:space="preserve">NOTA FINAL
</t>
    </r>
    <r>
      <rPr>
        <b/>
        <sz val="9"/>
        <color theme="1"/>
        <rFont val="Calibri"/>
        <family val="2"/>
        <scheme val="minor"/>
      </rPr>
      <t xml:space="preserve">(PROMEDIO
+ BONO)
</t>
    </r>
    <r>
      <rPr>
        <b/>
        <sz val="6"/>
        <color theme="1"/>
        <rFont val="Calibri"/>
        <family val="2"/>
        <scheme val="minor"/>
      </rPr>
      <t xml:space="preserve">----------------
</t>
    </r>
    <r>
      <rPr>
        <b/>
        <sz val="8"/>
        <color theme="1"/>
        <rFont val="Calibri"/>
        <family val="2"/>
        <scheme val="minor"/>
      </rPr>
      <t xml:space="preserve">SUMA </t>
    </r>
    <r>
      <rPr>
        <b/>
        <sz val="8"/>
        <color rgb="FF0070C0"/>
        <rFont val="Calibri"/>
        <family val="2"/>
        <scheme val="minor"/>
      </rPr>
      <t>J6</t>
    </r>
    <r>
      <rPr>
        <b/>
        <sz val="8"/>
        <color theme="1"/>
        <rFont val="Calibri"/>
        <family val="2"/>
        <scheme val="minor"/>
      </rPr>
      <t xml:space="preserve"> Y </t>
    </r>
    <r>
      <rPr>
        <b/>
        <sz val="8"/>
        <color rgb="FF7030A0"/>
        <rFont val="Calibri"/>
        <family val="2"/>
        <scheme val="minor"/>
      </rPr>
      <t>M5</t>
    </r>
  </si>
  <si>
    <t>Acevedo Nuria</t>
  </si>
  <si>
    <t>Alcalá Víctor</t>
  </si>
  <si>
    <t>Almaraz Álvaro</t>
  </si>
  <si>
    <r>
      <t xml:space="preserve">CUÁL ES EL MEJOR PUNTAJE OBTENIDO EN LA </t>
    </r>
    <r>
      <rPr>
        <b/>
        <sz val="12"/>
        <color rgb="FFFFFF00"/>
        <rFont val="Calibri"/>
        <family val="2"/>
        <scheme val="minor"/>
      </rPr>
      <t>NOTA FINAL</t>
    </r>
    <r>
      <rPr>
        <b/>
        <sz val="11"/>
        <color theme="0"/>
        <rFont val="Calibri"/>
        <family val="2"/>
        <scheme val="minor"/>
      </rPr>
      <t>?</t>
    </r>
  </si>
  <si>
    <t>Armijo Pedro</t>
  </si>
  <si>
    <t>Arrais Candela</t>
  </si>
  <si>
    <t>Arteaga Iker</t>
  </si>
  <si>
    <t>Arteaga Íker</t>
  </si>
  <si>
    <t>Berggren Flora</t>
  </si>
  <si>
    <t>Cano Elvira</t>
  </si>
  <si>
    <t>Casanova Cecilio</t>
  </si>
  <si>
    <t>Castellanos Bartolomé</t>
  </si>
  <si>
    <r>
      <t xml:space="preserve">CUÁL ES EL PROMEDIO MÁS BAJO </t>
    </r>
    <r>
      <rPr>
        <b/>
        <sz val="10"/>
        <color rgb="FFFFFF00"/>
        <rFont val="Calibri"/>
        <family val="2"/>
        <scheme val="minor"/>
      </rPr>
      <t>(sin considerar el BONO</t>
    </r>
    <r>
      <rPr>
        <b/>
        <sz val="11"/>
        <color rgb="FFFFFF00"/>
        <rFont val="Calibri"/>
        <family val="2"/>
        <scheme val="minor"/>
      </rPr>
      <t>)</t>
    </r>
    <r>
      <rPr>
        <b/>
        <sz val="11"/>
        <color theme="0"/>
        <rFont val="Calibri"/>
        <family val="2"/>
        <scheme val="minor"/>
      </rPr>
      <t>?</t>
    </r>
  </si>
  <si>
    <t>Chávez Edurne</t>
  </si>
  <si>
    <t>Contreras Carlos</t>
  </si>
  <si>
    <t>Delgadillo Andrés</t>
  </si>
  <si>
    <t>Espinosa Jeremías</t>
  </si>
  <si>
    <t>Fontiveros Asier</t>
  </si>
  <si>
    <t>Fuentes Verónica</t>
  </si>
  <si>
    <t>Godínez Óscar</t>
  </si>
  <si>
    <t>Hazza Pamela</t>
  </si>
  <si>
    <t>Hermosilla Alberto</t>
  </si>
  <si>
    <t>CUÁNTOS ALUMNOS SE MATRICULARON AL CURSO?</t>
  </si>
  <si>
    <t>Izquierdo Felipe</t>
  </si>
  <si>
    <t>Lazo Gabriela</t>
  </si>
  <si>
    <t>Linares Julia</t>
  </si>
  <si>
    <t>Manrique Asiris</t>
  </si>
  <si>
    <t>Marías Carlos</t>
  </si>
  <si>
    <t>Melgar Beatriz</t>
  </si>
  <si>
    <t>Melgar Carlota</t>
  </si>
  <si>
    <t>Melgar Laura</t>
  </si>
  <si>
    <t>Mendoza Desiré</t>
  </si>
  <si>
    <r>
      <t xml:space="preserve">CUÁNTOS ALUMNOS NO SE PRESENTARON AL </t>
    </r>
    <r>
      <rPr>
        <b/>
        <sz val="12"/>
        <color rgb="FFFFFF00"/>
        <rFont val="Calibri"/>
        <family val="2"/>
        <scheme val="minor"/>
      </rPr>
      <t>EXAMEN FINAL (EF)</t>
    </r>
    <r>
      <rPr>
        <b/>
        <sz val="11"/>
        <color theme="0"/>
        <rFont val="Calibri"/>
        <family val="2"/>
        <scheme val="minor"/>
      </rPr>
      <t>?</t>
    </r>
  </si>
  <si>
    <t>Montoya Jorge</t>
  </si>
  <si>
    <t>Mota Iván</t>
  </si>
  <si>
    <t>Padilla Naiara</t>
  </si>
  <si>
    <t>Pelayo Dalia</t>
  </si>
  <si>
    <t>Portocarrero Mauricio</t>
  </si>
  <si>
    <t>Quiroz Pedro</t>
  </si>
  <si>
    <t>Robledo Isabel</t>
  </si>
  <si>
    <t>Romero Valentina</t>
  </si>
  <si>
    <r>
      <t>CUÁL ES LA NOTA QUE MÁS VECES APARECE EN EL REGISTRO</t>
    </r>
    <r>
      <rPr>
        <b/>
        <sz val="12"/>
        <color theme="0"/>
        <rFont val="Calibri"/>
        <family val="2"/>
        <scheme val="minor"/>
      </rPr>
      <t xml:space="preserve"> </t>
    </r>
    <r>
      <rPr>
        <b/>
        <sz val="12"/>
        <color rgb="FFFFFF00"/>
        <rFont val="Calibri"/>
        <family val="2"/>
        <scheme val="minor"/>
      </rPr>
      <t>(PC1/PC2/PC3/PC4/EF))</t>
    </r>
    <r>
      <rPr>
        <b/>
        <sz val="11"/>
        <color theme="0"/>
        <rFont val="Calibri"/>
        <family val="2"/>
        <scheme val="minor"/>
      </rPr>
      <t>?</t>
    </r>
  </si>
  <si>
    <t>Serna David</t>
  </si>
  <si>
    <t>Sevilla Larissa</t>
  </si>
  <si>
    <t>Terán Eulalia</t>
  </si>
  <si>
    <t>Tercedor Alberto</t>
  </si>
  <si>
    <t>Tijerina Carlos</t>
  </si>
  <si>
    <t>Tórrez Miguel</t>
  </si>
  <si>
    <t>Valentín Cristóbal</t>
  </si>
  <si>
    <t>Valentín Nicolás</t>
  </si>
  <si>
    <t>Vega Rosario</t>
  </si>
  <si>
    <t>Vizcardo Javier</t>
  </si>
  <si>
    <t>Zelaya María</t>
  </si>
  <si>
    <t>FUNCIÓN RAIZ</t>
  </si>
  <si>
    <t>Cálculo de Longitud de Lado para Parcelas o Habitaciones Cuadradas</t>
  </si>
  <si>
    <t>PROYECTO</t>
  </si>
  <si>
    <t>DISTRITO</t>
  </si>
  <si>
    <t>PLANTA</t>
  </si>
  <si>
    <t>SUPERFICIE (m²)</t>
  </si>
  <si>
    <t>LONGITUD DEL LADO (m)</t>
  </si>
  <si>
    <t>Proyecto VERDE</t>
  </si>
  <si>
    <t>ATE</t>
  </si>
  <si>
    <t>Contexto:</t>
  </si>
  <si>
    <t>Surco</t>
  </si>
  <si>
    <t>Miraflores</t>
  </si>
  <si>
    <t>Eres un arquitecto encargado de diseñar diferentes parcelas o habitaciones cuadradas dentro de un desarrollo residencial. Para optimizar el uso del terreno, necesita calcular la longitud de cada lado en base al área de cada parcela, asegurándose de que las medidas cumplan con las normativas de espacio mínimo.</t>
  </si>
  <si>
    <t>Barranco</t>
  </si>
  <si>
    <t>San Miguel</t>
  </si>
  <si>
    <t>SJL</t>
  </si>
  <si>
    <t>SJM</t>
  </si>
  <si>
    <t>Remodelación Casa Real</t>
  </si>
  <si>
    <t>Santa Clara</t>
  </si>
  <si>
    <t>Comas</t>
  </si>
  <si>
    <t>Problema:</t>
  </si>
  <si>
    <t>Lurin</t>
  </si>
  <si>
    <t>Pachacamac</t>
  </si>
  <si>
    <r>
      <t>Tienes una lista de áreas (Superficie en m²) de diferentes parcelas o habitaciones, y necesitas calcular la longitud del lado de cada una para conocer las dimensiones exactas.</t>
    </r>
    <r>
      <rPr>
        <b/>
        <sz val="14"/>
        <color theme="1"/>
        <rFont val="Calibri"/>
        <family val="2"/>
        <scheme val="minor"/>
      </rPr>
      <t xml:space="preserve"> Utilice la función RAÍZ para calcular la longitud del lado</t>
    </r>
    <r>
      <rPr>
        <sz val="12"/>
        <color theme="1"/>
        <rFont val="Calibri"/>
        <family val="2"/>
        <scheme val="minor"/>
      </rPr>
      <t xml:space="preserve"> de cada parcela o habitación y, a partir de ahí, </t>
    </r>
    <r>
      <rPr>
        <b/>
        <i/>
        <sz val="14"/>
        <color theme="1"/>
        <rFont val="Calibri"/>
        <family val="2"/>
        <scheme val="minor"/>
      </rPr>
      <t>asegúrese de que ninguna parcela tenga lados menores a 3,5 metros, según las normativas locales.</t>
    </r>
  </si>
  <si>
    <t>Jesús María</t>
  </si>
  <si>
    <t>Proyecto Mi vivienda</t>
  </si>
  <si>
    <t>Condominio EL GOLF</t>
  </si>
  <si>
    <t>MÍNIMA LONGITUD DE LADO IDENTIFICADO EN METROS</t>
  </si>
  <si>
    <t>San Borja</t>
  </si>
  <si>
    <t>Pueblo Libre</t>
  </si>
  <si>
    <t>La Molina</t>
  </si>
  <si>
    <t>REGISTRO DE INGRESOS AL ALMACÉN - 2024</t>
  </si>
  <si>
    <t>SUMAR.SI</t>
  </si>
  <si>
    <t>CONTAR.SI</t>
  </si>
  <si>
    <t>MES DE INGRESO</t>
  </si>
  <si>
    <t>PRECIO UNITARIO</t>
  </si>
  <si>
    <t>PRECIO
 X STOCK</t>
  </si>
  <si>
    <t>Enero</t>
  </si>
  <si>
    <t>ALMACEN1</t>
  </si>
  <si>
    <t>ALMACEN4</t>
  </si>
  <si>
    <t>¿Calcula la cantidad de latas de ATÚN almacenadas?</t>
  </si>
  <si>
    <t>¿Cuántas marcas de ACEITE tenemos almacenadas?</t>
  </si>
  <si>
    <t>ALMACEN2</t>
  </si>
  <si>
    <t>ALMACEN5</t>
  </si>
  <si>
    <t>¿Cuál es el monto equivalente a los productos que se encuentran en el Almacen2?</t>
  </si>
  <si>
    <t>Almacen2</t>
  </si>
  <si>
    <t>¿Cuántos ingresos de productos se registraron en el mes de febrero?</t>
  </si>
  <si>
    <t>Febrero</t>
  </si>
  <si>
    <t>¿Cuál es la cantidad de productos almacenados con un precio unitario superior a 10.00 soles?</t>
  </si>
  <si>
    <t>¿Cuántas marcas de productos tienen stock menor o igual a 2000 unidades?</t>
  </si>
  <si>
    <t>ALMACEN3</t>
  </si>
  <si>
    <t>¿Cuántas cajas de productos tenemos almacenadas?</t>
  </si>
  <si>
    <t>¿Cuántos registros se realizaron en el almacen3?</t>
  </si>
  <si>
    <t>Marzo</t>
  </si>
  <si>
    <t>Abril</t>
  </si>
  <si>
    <t>Valle del Norte Extra Mejorado</t>
  </si>
  <si>
    <t>Mayo</t>
  </si>
  <si>
    <t>Junio</t>
  </si>
  <si>
    <t>Julio</t>
  </si>
  <si>
    <t>Agosto</t>
  </si>
  <si>
    <t>SUMAR.SI.CONJUNTO</t>
  </si>
  <si>
    <t>CONTAR.SI.CONJUNTO</t>
  </si>
  <si>
    <t>¿Cuál es el monto equivalente a los productos de Leche con presentación en caja ?</t>
  </si>
  <si>
    <t>¿Cuántos ingresos de productos se registraron el mes de junio en el almacen5?</t>
  </si>
  <si>
    <t>¿Cuál es la cantidad de productos almacenados en el almacen4 con un precio unitario inderior a 15.00 soles?</t>
  </si>
  <si>
    <t>¿Cuántas marcas de productos se registraron enel almacen1 con stock mayor a 2000 unidades?</t>
  </si>
  <si>
    <t>JAVA</t>
  </si>
  <si>
    <t>¿Cuántas botellas de gaseosa de registraron el mes de marzo?</t>
  </si>
  <si>
    <t>¿Cuántos registros de gaseosa en botella, se realizaron el mes de enero almacen1?</t>
  </si>
  <si>
    <t># REGISTRO</t>
  </si>
  <si>
    <t>DNI</t>
  </si>
  <si>
    <t>SEXO</t>
  </si>
  <si>
    <t>EDAD</t>
  </si>
  <si>
    <t>ESTADO</t>
  </si>
  <si>
    <t># HIJOS</t>
  </si>
  <si>
    <t>SUELDO</t>
  </si>
  <si>
    <t>PROFESIÓN</t>
  </si>
  <si>
    <t xml:space="preserve">AÑOS DE ANTIGÜEDAD </t>
  </si>
  <si>
    <t>MES DE VACACIONES</t>
  </si>
  <si>
    <t>CATEGORÍA</t>
  </si>
  <si>
    <t>BONO ANUAL</t>
  </si>
  <si>
    <t>En equipos de 3  integrantes proponer y resolver un ejercicio para cada una de las siguientes funciones:</t>
  </si>
  <si>
    <t>EA-0405</t>
  </si>
  <si>
    <t>M</t>
  </si>
  <si>
    <t>BARRANCO</t>
  </si>
  <si>
    <t>SOLTERO</t>
  </si>
  <si>
    <t>ADMINISTRADOR</t>
  </si>
  <si>
    <t>Octubre</t>
  </si>
  <si>
    <t>A</t>
  </si>
  <si>
    <t>IC-0111</t>
  </si>
  <si>
    <t>COMAS</t>
  </si>
  <si>
    <t>CASADO</t>
  </si>
  <si>
    <t>INGENIERO</t>
  </si>
  <si>
    <t>Función SUMAR.SI</t>
  </si>
  <si>
    <t>IC-0066</t>
  </si>
  <si>
    <t>LINCE</t>
  </si>
  <si>
    <t>DIVORCIADO</t>
  </si>
  <si>
    <t>IC-0137</t>
  </si>
  <si>
    <t>F</t>
  </si>
  <si>
    <t>MIRAFLORES</t>
  </si>
  <si>
    <t>ECONOMISTA</t>
  </si>
  <si>
    <t>RE-0021</t>
  </si>
  <si>
    <t>VIUDO</t>
  </si>
  <si>
    <t>IC-0247</t>
  </si>
  <si>
    <t>AC-0003</t>
  </si>
  <si>
    <t>EA-0078</t>
  </si>
  <si>
    <t>ABOGADO</t>
  </si>
  <si>
    <t>Setiembre</t>
  </si>
  <si>
    <t>Función CONTAR.SI</t>
  </si>
  <si>
    <t>EA-0021</t>
  </si>
  <si>
    <t>IC-0233</t>
  </si>
  <si>
    <t>IC-0035</t>
  </si>
  <si>
    <t>EA-0251</t>
  </si>
  <si>
    <t>CONTADOR</t>
  </si>
  <si>
    <t>EA-0134</t>
  </si>
  <si>
    <t>Noviembre</t>
  </si>
  <si>
    <t>IC-0155</t>
  </si>
  <si>
    <t>Función PROMEDIO.SI</t>
  </si>
  <si>
    <t>EA-0091</t>
  </si>
  <si>
    <t>IC-0107</t>
  </si>
  <si>
    <t>IZ-0010</t>
  </si>
  <si>
    <t>IC-0269</t>
  </si>
  <si>
    <t>SO-0001</t>
  </si>
  <si>
    <t>Diciembre</t>
  </si>
  <si>
    <t>EA-0130</t>
  </si>
  <si>
    <t>Función SUMAR.SI.CONJUNTO (con 3 criterios)</t>
  </si>
  <si>
    <t>IZ-0071</t>
  </si>
  <si>
    <t>IC-0022</t>
  </si>
  <si>
    <t>EA-0390</t>
  </si>
  <si>
    <t>EA-0048</t>
  </si>
  <si>
    <t>IC-0236</t>
  </si>
  <si>
    <t>EA-0331</t>
  </si>
  <si>
    <t>IC-0126</t>
  </si>
  <si>
    <t>Función CONTAR.SI.CONJUNTO (con 3 criterios)</t>
  </si>
  <si>
    <t>RE-0025</t>
  </si>
  <si>
    <t>EA-0274</t>
  </si>
  <si>
    <t>IC-0073</t>
  </si>
  <si>
    <t>EA-0216</t>
  </si>
  <si>
    <t>EA-0236</t>
  </si>
  <si>
    <t>IC-0274</t>
  </si>
  <si>
    <t>IA-0024</t>
  </si>
  <si>
    <t>Función PROMEDIO.SI.CONJUNTO (con 3 criterios)</t>
  </si>
  <si>
    <t>AC-0019</t>
  </si>
  <si>
    <t>IZ-0020</t>
  </si>
  <si>
    <t>PI-0002</t>
  </si>
  <si>
    <t>EA-0188</t>
  </si>
  <si>
    <t>EA-0298</t>
  </si>
  <si>
    <t>EA-0105</t>
  </si>
  <si>
    <t>EA-0340</t>
  </si>
  <si>
    <t>Función MAX.SI.CONJUNTO (con 3 criterios)</t>
  </si>
  <si>
    <t>IC-0210</t>
  </si>
  <si>
    <t>IC-0002</t>
  </si>
  <si>
    <t>PI-0011</t>
  </si>
  <si>
    <t>IC-0234</t>
  </si>
  <si>
    <t>EA-0187</t>
  </si>
  <si>
    <t>EA-0361</t>
  </si>
  <si>
    <t>EA-0342</t>
  </si>
  <si>
    <t>Función MIN.SI.CONJUNTO (con 3 criterios)</t>
  </si>
  <si>
    <t>IC-0160</t>
  </si>
  <si>
    <t>EA-0428</t>
  </si>
  <si>
    <t>IC-0226</t>
  </si>
  <si>
    <t>EA-0439</t>
  </si>
  <si>
    <t>IC-0106</t>
  </si>
  <si>
    <t>DF-0015</t>
  </si>
  <si>
    <t>EA-0431</t>
  </si>
  <si>
    <t>EA-0172</t>
  </si>
  <si>
    <t>IZ-0019</t>
  </si>
  <si>
    <t>IZ-0009</t>
  </si>
  <si>
    <t>EA-0034</t>
  </si>
  <si>
    <t>IC-0024</t>
  </si>
  <si>
    <t>EA-0138</t>
  </si>
  <si>
    <t>IZ-0049</t>
  </si>
  <si>
    <t>EA-0204</t>
  </si>
  <si>
    <t>IZ-0002</t>
  </si>
  <si>
    <t>EA-0039</t>
  </si>
  <si>
    <t>EA-0210</t>
  </si>
  <si>
    <t>SO-0017</t>
  </si>
  <si>
    <t>EA-0175</t>
  </si>
  <si>
    <t>IC-0037</t>
  </si>
  <si>
    <t>IC-0271</t>
  </si>
  <si>
    <t>IC-0039</t>
  </si>
  <si>
    <t>IC-0259</t>
  </si>
  <si>
    <t>EA-0300</t>
  </si>
  <si>
    <t>PI-0019</t>
  </si>
  <si>
    <t>EA-0054</t>
  </si>
  <si>
    <t>EA-0448</t>
  </si>
  <si>
    <t>EA-0083</t>
  </si>
  <si>
    <t>EA-0118</t>
  </si>
  <si>
    <t>EA-0070</t>
  </si>
  <si>
    <t>EA-0365</t>
  </si>
  <si>
    <t>EA-0327</t>
  </si>
  <si>
    <t>EA-0223</t>
  </si>
  <si>
    <t>IC-0115</t>
  </si>
  <si>
    <t>EA-0074</t>
  </si>
  <si>
    <t>IC-0225</t>
  </si>
  <si>
    <t>IC-0144</t>
  </si>
  <si>
    <t>EA-0042</t>
  </si>
  <si>
    <t>EA-0329</t>
  </si>
  <si>
    <t>IZ-0037</t>
  </si>
  <si>
    <t>IC-0214</t>
  </si>
  <si>
    <t>IA-0002</t>
  </si>
  <si>
    <t>EA-0360</t>
  </si>
  <si>
    <t>IZ-0062</t>
  </si>
  <si>
    <t>EA-0363</t>
  </si>
  <si>
    <t>EA-0344</t>
  </si>
  <si>
    <t>IA-0045</t>
  </si>
  <si>
    <t>EA-0378</t>
  </si>
  <si>
    <t>EA-0129</t>
  </si>
  <si>
    <t>IC-0199</t>
  </si>
  <si>
    <t>IC-0136</t>
  </si>
  <si>
    <t>EA-0215</t>
  </si>
  <si>
    <t>AC-0022</t>
  </si>
  <si>
    <t>EA-0023</t>
  </si>
  <si>
    <t>IC-0119</t>
  </si>
  <si>
    <t>IC-0130</t>
  </si>
  <si>
    <t>IC-0105</t>
  </si>
  <si>
    <t>IC-0065</t>
  </si>
  <si>
    <t>EA-0419</t>
  </si>
  <si>
    <t>IC-0100</t>
  </si>
  <si>
    <t>IZ-0023</t>
  </si>
  <si>
    <t>IC-0145</t>
  </si>
  <si>
    <t>EA-0348</t>
  </si>
  <si>
    <t>EA-0400</t>
  </si>
  <si>
    <t>EA-0101</t>
  </si>
  <si>
    <t>EA-0434</t>
  </si>
  <si>
    <t>EA-0160</t>
  </si>
  <si>
    <t>no programado</t>
  </si>
  <si>
    <t>IC-0007</t>
  </si>
  <si>
    <t>SO-0016</t>
  </si>
  <si>
    <t>IC-0147</t>
  </si>
  <si>
    <t>EA-0164</t>
  </si>
  <si>
    <t>EA-0119</t>
  </si>
  <si>
    <t>EA-0338</t>
  </si>
  <si>
    <t>EA-0073</t>
  </si>
  <si>
    <t>EA-0417</t>
  </si>
  <si>
    <t>IZ-0044</t>
  </si>
  <si>
    <t>B</t>
  </si>
  <si>
    <t>AC-0020</t>
  </si>
  <si>
    <t>IC-0288</t>
  </si>
  <si>
    <t>EA-0370</t>
  </si>
  <si>
    <t>EA-0141</t>
  </si>
  <si>
    <t>IA-0027</t>
  </si>
  <si>
    <t>EA-0117</t>
  </si>
  <si>
    <t>IC-0125</t>
  </si>
  <si>
    <t>EA-0028</t>
  </si>
  <si>
    <t>IC-0060</t>
  </si>
  <si>
    <t>IC-0168</t>
  </si>
  <si>
    <t>IC-0046</t>
  </si>
  <si>
    <t>EA-0296</t>
  </si>
  <si>
    <t>EA-0240</t>
  </si>
  <si>
    <t>IC-0080</t>
  </si>
  <si>
    <t>EA-0205</t>
  </si>
  <si>
    <t>IA-0036</t>
  </si>
  <si>
    <t>IC-0267</t>
  </si>
  <si>
    <t>IC-0014</t>
  </si>
  <si>
    <t>IC-0195</t>
  </si>
  <si>
    <t>PI-0009</t>
  </si>
  <si>
    <t>SO-0018</t>
  </si>
  <si>
    <t>EA-0174</t>
  </si>
  <si>
    <t>IC-0276</t>
  </si>
  <si>
    <t>IZ-0057</t>
  </si>
  <si>
    <t>IC-0273</t>
  </si>
  <si>
    <t>EA-0161</t>
  </si>
  <si>
    <t>IZ-0024</t>
  </si>
  <si>
    <t>EA-0156</t>
  </si>
  <si>
    <t>EA-0271</t>
  </si>
  <si>
    <t>EA-0170</t>
  </si>
  <si>
    <t>DF-0005</t>
  </si>
  <si>
    <t>IC-0104</t>
  </si>
  <si>
    <t>IZ-0026</t>
  </si>
  <si>
    <t>IC-0139</t>
  </si>
  <si>
    <t>EA-0168</t>
  </si>
  <si>
    <t>IC-0245</t>
  </si>
  <si>
    <t>IC-0169</t>
  </si>
  <si>
    <t>EA-0323</t>
  </si>
  <si>
    <t>EA-0328</t>
  </si>
  <si>
    <t>EA-0383</t>
  </si>
  <si>
    <t>EA-0292</t>
  </si>
  <si>
    <t>SO-0023</t>
  </si>
  <si>
    <t>EA-0426</t>
  </si>
  <si>
    <t>EA-0206</t>
  </si>
  <si>
    <t>IZ-0053</t>
  </si>
  <si>
    <t>SO-0011</t>
  </si>
  <si>
    <t>EA-0026</t>
  </si>
  <si>
    <t>EA-0192</t>
  </si>
  <si>
    <t>EA-0127</t>
  </si>
  <si>
    <t>EA-0201</t>
  </si>
  <si>
    <t>IZ-0011</t>
  </si>
  <si>
    <t>IA-0020</t>
  </si>
  <si>
    <t>EA-0110</t>
  </si>
  <si>
    <t>EA-0017</t>
  </si>
  <si>
    <t>PI-0013</t>
  </si>
  <si>
    <t>EA-0061</t>
  </si>
  <si>
    <t>IC-0215</t>
  </si>
  <si>
    <t>EA-0339</t>
  </si>
  <si>
    <t>IC-0187</t>
  </si>
  <si>
    <t>EA-0399</t>
  </si>
  <si>
    <t>IC-0056</t>
  </si>
  <si>
    <t>PI-0003</t>
  </si>
  <si>
    <t>IC-0108</t>
  </si>
  <si>
    <t>EA-0220</t>
  </si>
  <si>
    <t>IA-0029</t>
  </si>
  <si>
    <t>IC-0074</t>
  </si>
  <si>
    <t>EA-0411</t>
  </si>
  <si>
    <t>IC-0143</t>
  </si>
  <si>
    <t>EA-0079</t>
  </si>
  <si>
    <t>EA-0314</t>
  </si>
  <si>
    <t>EA-0249</t>
  </si>
  <si>
    <t>RE-0020</t>
  </si>
  <si>
    <t>EA-0071</t>
  </si>
  <si>
    <t>IZ-0008</t>
  </si>
  <si>
    <t>AC-0017</t>
  </si>
  <si>
    <t>IZ-0034</t>
  </si>
  <si>
    <t>EA-0149</t>
  </si>
  <si>
    <t>EA-0255</t>
  </si>
  <si>
    <t>EA-0162</t>
  </si>
  <si>
    <t>IC-0124</t>
  </si>
  <si>
    <t>EA-0396</t>
  </si>
  <si>
    <t>EA-0226</t>
  </si>
  <si>
    <t>EA-0277</t>
  </si>
  <si>
    <t>IC-0203</t>
  </si>
  <si>
    <t>EA-0266</t>
  </si>
  <si>
    <t>PI-0024</t>
  </si>
  <si>
    <t>IC-0047</t>
  </si>
  <si>
    <t>EA-0402</t>
  </si>
  <si>
    <t>EA-0121</t>
  </si>
  <si>
    <t>EA-0155</t>
  </si>
  <si>
    <t>RE-0010</t>
  </si>
  <si>
    <t>IC-0257</t>
  </si>
  <si>
    <t>EA-0165</t>
  </si>
  <si>
    <t>IZ-0067</t>
  </si>
  <si>
    <t>EA-0182</t>
  </si>
  <si>
    <t>EA-0305</t>
  </si>
  <si>
    <t>SO-0005</t>
  </si>
  <si>
    <t>EA-0407</t>
  </si>
  <si>
    <t>IC-0032</t>
  </si>
  <si>
    <t>IZ-0066</t>
  </si>
  <si>
    <t>IA-0021</t>
  </si>
  <si>
    <t>EA-0304</t>
  </si>
  <si>
    <t>EA-0369</t>
  </si>
  <si>
    <t>EA-0012</t>
  </si>
  <si>
    <t>AC-0004</t>
  </si>
  <si>
    <t>EA-0252</t>
  </si>
  <si>
    <t>EA-0347</t>
  </si>
  <si>
    <t>EA-0086</t>
  </si>
  <si>
    <t>EA-0261</t>
  </si>
  <si>
    <t>IZ-0025</t>
  </si>
  <si>
    <t>IA-0034</t>
  </si>
  <si>
    <t>IC-0218</t>
  </si>
  <si>
    <t>RE-0014</t>
  </si>
  <si>
    <t>IZ-0045</t>
  </si>
  <si>
    <t>IZ-0063</t>
  </si>
  <si>
    <t>EA-0330</t>
  </si>
  <si>
    <t>IA-0015</t>
  </si>
  <si>
    <t>EA-0051</t>
  </si>
  <si>
    <t>IC-0109</t>
  </si>
  <si>
    <t>IC-0157</t>
  </si>
  <si>
    <t>EA-0123</t>
  </si>
  <si>
    <t>IC-0019</t>
  </si>
  <si>
    <t>C</t>
  </si>
  <si>
    <t>PI-0020</t>
  </si>
  <si>
    <t>IA-0049</t>
  </si>
  <si>
    <t>PI-0023</t>
  </si>
  <si>
    <t>IC-0293</t>
  </si>
  <si>
    <t>IC-0266</t>
  </si>
  <si>
    <t>DF-0022</t>
  </si>
  <si>
    <t>IZ-0075</t>
  </si>
  <si>
    <t>IC-0052</t>
  </si>
  <si>
    <t>EA-0352</t>
  </si>
  <si>
    <t>IC-0249</t>
  </si>
  <si>
    <t>IC-0038</t>
  </si>
  <si>
    <t>EA-0084</t>
  </si>
  <si>
    <t>SO-0022</t>
  </si>
  <si>
    <t>IC-0282</t>
  </si>
  <si>
    <t>IZ-0065</t>
  </si>
  <si>
    <t>DF-0024</t>
  </si>
  <si>
    <t>EA-0157</t>
  </si>
  <si>
    <t>IC-0023</t>
  </si>
  <si>
    <t>EA-0194</t>
  </si>
  <si>
    <t>IC-0127</t>
  </si>
  <si>
    <t>IC-0261</t>
  </si>
  <si>
    <t>IA-0019</t>
  </si>
  <si>
    <t>IA-0047</t>
  </si>
  <si>
    <t>EA-0385</t>
  </si>
  <si>
    <t>EA-0050</t>
  </si>
  <si>
    <t>EA-0318</t>
  </si>
  <si>
    <t>EA-0072</t>
  </si>
  <si>
    <t>PI-0008</t>
  </si>
  <si>
    <t>AC-0012</t>
  </si>
  <si>
    <t>IC-0191</t>
  </si>
  <si>
    <t>EA-0290</t>
  </si>
  <si>
    <t>EA-0358</t>
  </si>
  <si>
    <t>EA-0371</t>
  </si>
  <si>
    <t>IC-0292</t>
  </si>
  <si>
    <t>IC-0075</t>
  </si>
  <si>
    <t>AC-0002</t>
  </si>
  <si>
    <t>IC-0033</t>
  </si>
  <si>
    <t>EA-0233</t>
  </si>
  <si>
    <t>EA-0264</t>
  </si>
  <si>
    <t>EA-0093</t>
  </si>
  <si>
    <t>RE-0009</t>
  </si>
  <si>
    <t>EA-0217</t>
  </si>
  <si>
    <t>IC-0152</t>
  </si>
  <si>
    <t>EA-0293</t>
  </si>
  <si>
    <t>EA-0005</t>
  </si>
  <si>
    <t>IA-0043</t>
  </si>
  <si>
    <t>RE-0002</t>
  </si>
  <si>
    <t>IZ-0060</t>
  </si>
  <si>
    <t>EA-0306</t>
  </si>
  <si>
    <t>EA-0440</t>
  </si>
  <si>
    <t>IC-0020</t>
  </si>
  <si>
    <t>PI-0012</t>
  </si>
  <si>
    <t>EA-0186</t>
  </si>
  <si>
    <t>EA-0263</t>
  </si>
  <si>
    <t>IZ-0038</t>
  </si>
  <si>
    <t>IC-0008</t>
  </si>
  <si>
    <t>IA-0016</t>
  </si>
  <si>
    <t>AC-0010</t>
  </si>
  <si>
    <t>EA-0427</t>
  </si>
  <si>
    <t>IC-0093</t>
  </si>
  <si>
    <t>IC-0101</t>
  </si>
  <si>
    <t>EA-0395</t>
  </si>
  <si>
    <t>IC-0272</t>
  </si>
  <si>
    <t>IZ-0050</t>
  </si>
  <si>
    <t>DF-0009</t>
  </si>
  <si>
    <t>IC-0230</t>
  </si>
  <si>
    <t>IC-0029</t>
  </si>
  <si>
    <t>EA-0146</t>
  </si>
  <si>
    <t>IC-0048</t>
  </si>
  <si>
    <t>IC-0018</t>
  </si>
  <si>
    <t>DF-0025</t>
  </si>
  <si>
    <t>IC-0110</t>
  </si>
  <si>
    <t>IC-0189</t>
  </si>
  <si>
    <t>PI-0007</t>
  </si>
  <si>
    <t>IC-0166</t>
  </si>
  <si>
    <t>IC-0165</t>
  </si>
  <si>
    <t>IC-0222</t>
  </si>
  <si>
    <t>EA-0420</t>
  </si>
  <si>
    <t>IC-0252</t>
  </si>
  <si>
    <t>IZ-0021</t>
  </si>
  <si>
    <t>EA-0024</t>
  </si>
  <si>
    <t>EA-0393</t>
  </si>
  <si>
    <t>IC-0248</t>
  </si>
  <si>
    <t>EA-0270</t>
  </si>
  <si>
    <t>EA-0193</t>
  </si>
  <si>
    <t>RE-0019</t>
  </si>
  <si>
    <t>IA-0032</t>
  </si>
  <si>
    <t>IC-0084</t>
  </si>
  <si>
    <t>DF-0016</t>
  </si>
  <si>
    <t>EA-0067</t>
  </si>
  <si>
    <t>EA-0451</t>
  </si>
  <si>
    <t>RE-0006</t>
  </si>
  <si>
    <t>EA-0185</t>
  </si>
  <si>
    <t>EA-0225</t>
  </si>
  <si>
    <t>RE-0018</t>
  </si>
  <si>
    <t>EA-0262</t>
  </si>
  <si>
    <t>IC-0055</t>
  </si>
  <si>
    <t>EA-0163</t>
  </si>
  <si>
    <t>EA-0221</t>
  </si>
  <si>
    <t>EA-0180</t>
  </si>
  <si>
    <t>EA-0099</t>
  </si>
  <si>
    <t>IC-0232</t>
  </si>
  <si>
    <t>EA-0056</t>
  </si>
  <si>
    <t>EA-0422</t>
  </si>
  <si>
    <t>IC-0086</t>
  </si>
  <si>
    <t>IZ-0017</t>
  </si>
  <si>
    <t>IC-0289</t>
  </si>
  <si>
    <t>IC-0003</t>
  </si>
  <si>
    <t>IC-0200</t>
  </si>
  <si>
    <t>SO-0015</t>
  </si>
  <si>
    <t>EA-0040</t>
  </si>
  <si>
    <t>D</t>
  </si>
  <si>
    <t>PI-0004</t>
  </si>
  <si>
    <t>DF-0010</t>
  </si>
  <si>
    <t>IA-0026</t>
  </si>
  <si>
    <t>EA-0437</t>
  </si>
  <si>
    <t>EA-0382</t>
  </si>
  <si>
    <t>EA-0309</t>
  </si>
  <si>
    <t>EA-0053</t>
  </si>
  <si>
    <t>DF-0004</t>
  </si>
  <si>
    <t>EA-0096</t>
  </si>
  <si>
    <t>EA-0120</t>
  </si>
  <si>
    <t>EA-0413</t>
  </si>
  <si>
    <t>IZ-0005</t>
  </si>
  <si>
    <t>EA-0015</t>
  </si>
  <si>
    <t>EA-0380</t>
  </si>
  <si>
    <t>EA-0379</t>
  </si>
  <si>
    <t>IC-0011</t>
  </si>
  <si>
    <t>EA-0158</t>
  </si>
  <si>
    <t>IC-0118</t>
  </si>
  <si>
    <t>EA-0177</t>
  </si>
  <si>
    <t>EA-0295</t>
  </si>
  <si>
    <t>EA-0247</t>
  </si>
  <si>
    <t>IC-0061</t>
  </si>
  <si>
    <t>IC-0193</t>
  </si>
  <si>
    <t>EA-0132</t>
  </si>
  <si>
    <t>EA-0315</t>
  </si>
  <si>
    <t>EA-0076</t>
  </si>
  <si>
    <t>EA-0449</t>
  </si>
  <si>
    <t>PI-0025</t>
  </si>
  <si>
    <t>EA-0184</t>
  </si>
  <si>
    <t>EA-0045</t>
  </si>
  <si>
    <t>IC-0148</t>
  </si>
  <si>
    <t>EA-0115</t>
  </si>
  <si>
    <t>IZ-0070</t>
  </si>
  <si>
    <t>IC-0040</t>
  </si>
  <si>
    <t>IA-0003</t>
  </si>
  <si>
    <t>IC-0263</t>
  </si>
  <si>
    <t>IA-0037</t>
  </si>
  <si>
    <t>IZ-0072</t>
  </si>
  <si>
    <t>IC-0268</t>
  </si>
  <si>
    <t>IC-0198</t>
  </si>
  <si>
    <t>EA-0133</t>
  </si>
  <si>
    <t>EA-0208</t>
  </si>
  <si>
    <t>PI-0017</t>
  </si>
  <si>
    <t>IC-0089</t>
  </si>
  <si>
    <t>IC-0135</t>
  </si>
  <si>
    <t>IC-0132</t>
  </si>
  <si>
    <t>EA-0450</t>
  </si>
  <si>
    <t>IC-0156</t>
  </si>
  <si>
    <t>IC-0064</t>
  </si>
  <si>
    <t>IC-0150</t>
  </si>
  <si>
    <t>DF-0017</t>
  </si>
  <si>
    <t>IC-0092</t>
  </si>
  <si>
    <t>EA-0041</t>
  </si>
  <si>
    <t>EA-0106</t>
  </si>
  <si>
    <t>IZ-0012</t>
  </si>
  <si>
    <t>EA-0307</t>
  </si>
  <si>
    <t>EA-0004</t>
  </si>
  <si>
    <t>SO-0006</t>
  </si>
  <si>
    <t>EA-0139</t>
  </si>
  <si>
    <t>IA-0005</t>
  </si>
  <si>
    <t>EA-0404</t>
  </si>
  <si>
    <t>EA-0244</t>
  </si>
  <si>
    <t>IA-0038</t>
  </si>
  <si>
    <t>IC-0258</t>
  </si>
  <si>
    <t>EA-0077</t>
  </si>
  <si>
    <t>IA-0030</t>
  </si>
  <si>
    <t>IC-0172</t>
  </si>
  <si>
    <t>EA-0374</t>
  </si>
  <si>
    <t>IZ-0055</t>
  </si>
  <si>
    <t>EA-0047</t>
  </si>
  <si>
    <t>EA-0433</t>
  </si>
  <si>
    <t>EA-0410</t>
  </si>
  <si>
    <t>RE-0012</t>
  </si>
  <si>
    <t>EA-0010</t>
  </si>
  <si>
    <t>IC-0250</t>
  </si>
  <si>
    <t>RE-0023</t>
  </si>
  <si>
    <t>IA-0040</t>
  </si>
  <si>
    <t>IC-0242</t>
  </si>
  <si>
    <t>IC-0091</t>
  </si>
  <si>
    <t>EA-0367</t>
  </si>
  <si>
    <t>EA-0043</t>
  </si>
  <si>
    <t>EA-0388</t>
  </si>
  <si>
    <t>SO-0014</t>
  </si>
  <si>
    <t>IC-0059</t>
  </si>
  <si>
    <t>IC-0201</t>
  </si>
  <si>
    <t>RE-0011</t>
  </si>
  <si>
    <t>IC-0205</t>
  </si>
  <si>
    <t>EA-0444</t>
  </si>
  <si>
    <t>IC-0227</t>
  </si>
  <si>
    <t>PI-0006</t>
  </si>
  <si>
    <t>EA-0231</t>
  </si>
  <si>
    <t>EA-0035</t>
  </si>
  <si>
    <t>IC-0044</t>
  </si>
  <si>
    <t>EA-0031</t>
  </si>
  <si>
    <t>IC-0296</t>
  </si>
  <si>
    <t>IC-0286</t>
  </si>
  <si>
    <t>EA-0092</t>
  </si>
  <si>
    <t>IC-0131</t>
  </si>
  <si>
    <t>EA-0278</t>
  </si>
  <si>
    <t>IC-0190</t>
  </si>
  <si>
    <t>EA-0142</t>
  </si>
  <si>
    <t>EA-0246</t>
  </si>
  <si>
    <t>EA-0153</t>
  </si>
  <si>
    <t>EA-0237</t>
  </si>
  <si>
    <t>EA-0429</t>
  </si>
  <si>
    <t>IC-0099</t>
  </si>
  <si>
    <t>EA-0008</t>
  </si>
  <si>
    <t>EA-0198</t>
  </si>
  <si>
    <t>EA-0442</t>
  </si>
  <si>
    <t>EA-0281</t>
  </si>
  <si>
    <t>RE-0007</t>
  </si>
  <si>
    <t>IC-0088</t>
  </si>
  <si>
    <t>EA-0183</t>
  </si>
  <si>
    <t>EA-0171</t>
  </si>
  <si>
    <t>IC-0010</t>
  </si>
  <si>
    <t>IC-0050</t>
  </si>
  <si>
    <t>EA-0068</t>
  </si>
  <si>
    <t>IC-0209</t>
  </si>
  <si>
    <t>IC-0184</t>
  </si>
  <si>
    <t>EA-0392</t>
  </si>
  <si>
    <t>IC-0062</t>
  </si>
  <si>
    <t>EA-0064</t>
  </si>
  <si>
    <t>EA-0080</t>
  </si>
  <si>
    <t>IC-0254</t>
  </si>
  <si>
    <t>EA-0250</t>
  </si>
  <si>
    <t>EA-0319</t>
  </si>
  <si>
    <t>IC-0129</t>
  </si>
  <si>
    <t>EA-0136</t>
  </si>
  <si>
    <t>IC-0243</t>
  </si>
  <si>
    <t>IC-0277</t>
  </si>
  <si>
    <t>IA-0014</t>
  </si>
  <si>
    <t>IC-0034</t>
  </si>
  <si>
    <t>SO-0010</t>
  </si>
  <si>
    <t>EA-0001</t>
  </si>
  <si>
    <t>IZ-0036</t>
  </si>
  <si>
    <t>DF-0011</t>
  </si>
  <si>
    <t>IZ-0046</t>
  </si>
  <si>
    <t>E</t>
  </si>
  <si>
    <t>IC-0280</t>
  </si>
  <si>
    <t>EA-0189</t>
  </si>
  <si>
    <t>IC-0094</t>
  </si>
  <si>
    <t>AC-0009</t>
  </si>
  <si>
    <t>EA-0397</t>
  </si>
  <si>
    <t>EA-0394</t>
  </si>
  <si>
    <t>IC-0213</t>
  </si>
  <si>
    <t>EA-0325</t>
  </si>
  <si>
    <t>EA-0245</t>
  </si>
  <si>
    <t>IC-0071</t>
  </si>
  <si>
    <t>EA-0425</t>
  </si>
  <si>
    <t>EA-0166</t>
  </si>
  <si>
    <t>IA-0033</t>
  </si>
  <si>
    <t>IC-0264</t>
  </si>
  <si>
    <t>IZ-0058</t>
  </si>
  <si>
    <t>EA-0081</t>
  </si>
  <si>
    <t>AC-0021</t>
  </si>
  <si>
    <t>EA-0128</t>
  </si>
  <si>
    <t>EA-0200</t>
  </si>
  <si>
    <t>EA-0320</t>
  </si>
  <si>
    <t>IC-0141</t>
  </si>
  <si>
    <t>IC-0208</t>
  </si>
  <si>
    <t>EA-0414</t>
  </si>
  <si>
    <t>IC-0090</t>
  </si>
  <si>
    <t>EA-0391</t>
  </si>
  <si>
    <t>EA-0197</t>
  </si>
  <si>
    <t>EA-0446</t>
  </si>
  <si>
    <t>IZ-0003</t>
  </si>
  <si>
    <t>EA-0389</t>
  </si>
  <si>
    <t>IC-0163</t>
  </si>
  <si>
    <t>EA-0020</t>
  </si>
  <si>
    <t>IC-0151</t>
  </si>
  <si>
    <t>EA-0359</t>
  </si>
  <si>
    <t>IC-0265</t>
  </si>
  <si>
    <t>EA-0302</t>
  </si>
  <si>
    <t>IC-0042</t>
  </si>
  <si>
    <t>EA-0241</t>
  </si>
  <si>
    <t>IC-0281</t>
  </si>
  <si>
    <t>IC-0260</t>
  </si>
  <si>
    <t>RE-0013</t>
  </si>
  <si>
    <t>EA-0055</t>
  </si>
  <si>
    <t>EA-0311</t>
  </si>
  <si>
    <t>EA-0019</t>
  </si>
  <si>
    <t>EA-0377</t>
  </si>
  <si>
    <t>IA-0001</t>
  </si>
  <si>
    <t>IC-0179</t>
  </si>
  <si>
    <t>IA-0018</t>
  </si>
  <si>
    <t>IC-0231</t>
  </si>
  <si>
    <t>RE-0016</t>
  </si>
  <si>
    <t>EA-0243</t>
  </si>
  <si>
    <t>IC-0185</t>
  </si>
  <si>
    <t>IZ-0030</t>
  </si>
  <si>
    <t>IC-0228</t>
  </si>
  <si>
    <t>IC-0134</t>
  </si>
  <si>
    <t>DF-0012</t>
  </si>
  <si>
    <t>SO-0012</t>
  </si>
  <si>
    <t>AC-0005</t>
  </si>
  <si>
    <t>IC-0123</t>
  </si>
  <si>
    <t>IC-0275</t>
  </si>
  <si>
    <t>IC-0120</t>
  </si>
  <si>
    <t>IC-0207</t>
  </si>
  <si>
    <t>DF-0007</t>
  </si>
  <si>
    <t>EA-0052</t>
  </si>
  <si>
    <t>IC-0170</t>
  </si>
  <si>
    <t>EA-0114</t>
  </si>
  <si>
    <t>IC-0279</t>
  </si>
  <si>
    <t>DF-0019</t>
  </si>
  <si>
    <t>DF-0014</t>
  </si>
  <si>
    <t>IZ-0035</t>
  </si>
  <si>
    <t>EA-0268</t>
  </si>
  <si>
    <t>EA-0107</t>
  </si>
  <si>
    <t>IZ-0069</t>
  </si>
  <si>
    <t>EA-0009</t>
  </si>
  <si>
    <t>EA-0207</t>
  </si>
  <si>
    <t>IZ-0048</t>
  </si>
  <si>
    <t>EA-0321</t>
  </si>
  <si>
    <t>EA-0013</t>
  </si>
  <si>
    <t>EA-0089</t>
  </si>
  <si>
    <t>PI-0018</t>
  </si>
  <si>
    <t>EA-0381</t>
  </si>
  <si>
    <t>IA-0041</t>
  </si>
  <si>
    <t>SO-0019</t>
  </si>
  <si>
    <t>SO-0004</t>
  </si>
  <si>
    <t>IA-0022</t>
  </si>
  <si>
    <t>EA-0087</t>
  </si>
  <si>
    <t>EA-0269</t>
  </si>
  <si>
    <t>IC-0186</t>
  </si>
  <si>
    <t>EA-0254</t>
  </si>
  <si>
    <t>IC-0113</t>
  </si>
  <si>
    <t>PI-0014</t>
  </si>
  <si>
    <t>EA-0098</t>
  </si>
  <si>
    <t>EA-0011</t>
  </si>
  <si>
    <t>IC-0133</t>
  </si>
  <si>
    <t>EA-0179</t>
  </si>
  <si>
    <t>EA-0044</t>
  </si>
  <si>
    <t>EA-0148</t>
  </si>
  <si>
    <t>IZ-0032</t>
  </si>
  <si>
    <t>IC-0026</t>
  </si>
  <si>
    <t>EA-0135</t>
  </si>
  <si>
    <t>DF-0006</t>
  </si>
  <si>
    <t>IC-0051</t>
  </si>
  <si>
    <t>EA-0219</t>
  </si>
  <si>
    <t>EA-0025</t>
  </si>
  <si>
    <t>RE-0008</t>
  </si>
  <si>
    <t>EA-0058</t>
  </si>
  <si>
    <t>EA-0406</t>
  </si>
  <si>
    <t>EA-0303</t>
  </si>
  <si>
    <t>IC-0053</t>
  </si>
  <si>
    <t>EA-0229</t>
  </si>
  <si>
    <t>EA-0085</t>
  </si>
  <si>
    <t>EA-0432</t>
  </si>
  <si>
    <t>EA-0069</t>
  </si>
  <si>
    <t>EA-0059</t>
  </si>
  <si>
    <t>IC-0284</t>
  </si>
  <si>
    <t>EA-0112</t>
  </si>
  <si>
    <t>IZ-0029</t>
  </si>
  <si>
    <t>AC-0025</t>
  </si>
  <si>
    <t>EA-0286</t>
  </si>
  <si>
    <t>IZ-0051</t>
  </si>
  <si>
    <t>EA-0341</t>
  </si>
  <si>
    <t>PI-0005</t>
  </si>
  <si>
    <t>IZ-0001</t>
  </si>
  <si>
    <t>EA-0213</t>
  </si>
  <si>
    <t>IC-0182</t>
  </si>
  <si>
    <t>EA-0033</t>
  </si>
  <si>
    <t>EA-0346</t>
  </si>
  <si>
    <t>EA-0423</t>
  </si>
  <si>
    <t>IC-0229</t>
  </si>
  <si>
    <t>IC-0103</t>
  </si>
  <si>
    <t>IZ-0064</t>
  </si>
  <si>
    <t>IC-0220</t>
  </si>
  <si>
    <t>IC-0240</t>
  </si>
  <si>
    <t>EA-0049</t>
  </si>
  <si>
    <t>IZ-0040</t>
  </si>
  <si>
    <t>EA-0232</t>
  </si>
  <si>
    <t>EA-0103</t>
  </si>
  <si>
    <t>EA-0351</t>
  </si>
  <si>
    <t>EA-0301</t>
  </si>
  <si>
    <t>EA-0090</t>
  </si>
  <si>
    <t>EA-0222</t>
  </si>
  <si>
    <t>IC-0005</t>
  </si>
  <si>
    <t>IC-0085</t>
  </si>
  <si>
    <t>EA-0154</t>
  </si>
  <si>
    <t>EA-0403</t>
  </si>
  <si>
    <t>IA-0010</t>
  </si>
  <si>
    <t>DF-0008</t>
  </si>
  <si>
    <t>EA-0384</t>
  </si>
  <si>
    <t>IC-0197</t>
  </si>
  <si>
    <t>IC-0015</t>
  </si>
  <si>
    <t>IC-0158</t>
  </si>
  <si>
    <t>IC-0057</t>
  </si>
  <si>
    <t>EA-0253</t>
  </si>
  <si>
    <t>IC-0154</t>
  </si>
  <si>
    <t>EA-0297</t>
  </si>
  <si>
    <t>EA-0239</t>
  </si>
  <si>
    <t>SO-0003</t>
  </si>
  <si>
    <t>EA-0097</t>
  </si>
  <si>
    <t>EA-0438</t>
  </si>
  <si>
    <t>EA-0343</t>
  </si>
  <si>
    <t>IC-0069</t>
  </si>
  <si>
    <t>IC-0173</t>
  </si>
  <si>
    <t>IC-0028</t>
  </si>
  <si>
    <t>IC-0070</t>
  </si>
  <si>
    <t>EA-0333</t>
  </si>
  <si>
    <t>EA-0113</t>
  </si>
  <si>
    <t>DF-0020</t>
  </si>
  <si>
    <t>IC-0025</t>
  </si>
  <si>
    <t>EA-0167</t>
  </si>
  <si>
    <t>IC-0238</t>
  </si>
  <si>
    <t>EA-0063</t>
  </si>
  <si>
    <t>IC-0036</t>
  </si>
  <si>
    <t>EA-0357</t>
  </si>
  <si>
    <t>IC-0017</t>
  </si>
  <si>
    <t>IC-0058</t>
  </si>
  <si>
    <t>IA-0004</t>
  </si>
  <si>
    <t>IC-0235</t>
  </si>
  <si>
    <t>EA-0335</t>
  </si>
  <si>
    <t>IC-0217</t>
  </si>
  <si>
    <t>EA-0007</t>
  </si>
  <si>
    <t>IC-0027</t>
  </si>
  <si>
    <t>AC-0008</t>
  </si>
  <si>
    <t>EA-0316</t>
  </si>
  <si>
    <t>EA-0046</t>
  </si>
  <si>
    <t>IC-0174</t>
  </si>
  <si>
    <t>EA-0364</t>
  </si>
  <si>
    <t>EA-0065</t>
  </si>
  <si>
    <t>AC-0001</t>
  </si>
  <si>
    <t>IC-0178</t>
  </si>
  <si>
    <t>IC-0270</t>
  </si>
  <si>
    <t>EA-0275</t>
  </si>
  <si>
    <t>IA-0039</t>
  </si>
  <si>
    <t>IC-0241</t>
  </si>
  <si>
    <t>EA-0272</t>
  </si>
  <si>
    <t>IZ-0056</t>
  </si>
  <si>
    <t>IC-0223</t>
  </si>
  <si>
    <t>SO-0020</t>
  </si>
  <si>
    <t>EA-0022</t>
  </si>
  <si>
    <t>IC-0297</t>
  </si>
  <si>
    <t>IC-0043</t>
  </si>
  <si>
    <t>EA-0143</t>
  </si>
  <si>
    <t>IA-0007</t>
  </si>
  <si>
    <t>EA-0178</t>
  </si>
  <si>
    <t>RE-0004</t>
  </si>
  <si>
    <t>IZ-0047</t>
  </si>
  <si>
    <t>EA-0125</t>
  </si>
  <si>
    <t>DF-0003</t>
  </si>
  <si>
    <t>IC-0246</t>
  </si>
  <si>
    <t>EA-0447</t>
  </si>
  <si>
    <t>PI-0021</t>
  </si>
  <si>
    <t>IZ-0022</t>
  </si>
  <si>
    <t>EA-0159</t>
  </si>
  <si>
    <t>IC-0045</t>
  </si>
  <si>
    <t>RE-0001</t>
  </si>
  <si>
    <t>IC-0121</t>
  </si>
  <si>
    <t>EA-0287</t>
  </si>
  <si>
    <t>EA-0147</t>
  </si>
  <si>
    <t>IC-0206</t>
  </si>
  <si>
    <t>IA-0048</t>
  </si>
  <si>
    <t>IA-0009</t>
  </si>
  <si>
    <t>IC-0004</t>
  </si>
  <si>
    <t>IC-0162</t>
  </si>
  <si>
    <t>EA-0027</t>
  </si>
  <si>
    <t>IC-0291</t>
  </si>
  <si>
    <t>IC-0295</t>
  </si>
  <si>
    <t>IC-0001</t>
  </si>
  <si>
    <t>AC-0024</t>
  </si>
  <si>
    <t>EA-0018</t>
  </si>
  <si>
    <t>IC-0149</t>
  </si>
  <si>
    <t>IC-0096</t>
  </si>
  <si>
    <t>IC-0116</t>
  </si>
  <si>
    <t>IC-0159</t>
  </si>
  <si>
    <t>IC-0138</t>
  </si>
  <si>
    <t>IC-0212</t>
  </si>
  <si>
    <t>IC-0251</t>
  </si>
  <si>
    <t>IC-0176</t>
  </si>
  <si>
    <t>AC-0006</t>
  </si>
  <si>
    <t>EA-0376</t>
  </si>
  <si>
    <t>IC-0142</t>
  </si>
  <si>
    <t>EA-0082</t>
  </si>
  <si>
    <t>EA-0111</t>
  </si>
  <si>
    <t>IZ-0061</t>
  </si>
  <si>
    <t>IC-0216</t>
  </si>
  <si>
    <t>EA-0151</t>
  </si>
  <si>
    <t>RE-0005</t>
  </si>
  <si>
    <t>EA-0030</t>
  </si>
  <si>
    <t>PI-0015</t>
  </si>
  <si>
    <t>IC-0016</t>
  </si>
  <si>
    <t>EA-0116</t>
  </si>
  <si>
    <t>EA-0199</t>
  </si>
  <si>
    <t>EA-0430</t>
  </si>
  <si>
    <t>EA-0036</t>
  </si>
  <si>
    <t>EA-0195</t>
  </si>
  <si>
    <t>G</t>
  </si>
  <si>
    <t>EA-0258</t>
  </si>
  <si>
    <t>EA-0337</t>
  </si>
  <si>
    <t>IC-0285</t>
  </si>
  <si>
    <t>EA-0276</t>
  </si>
  <si>
    <t>IZ-0059</t>
  </si>
  <si>
    <t>EA-0227</t>
  </si>
  <si>
    <t>IZ-0031</t>
  </si>
  <si>
    <t>IC-0063</t>
  </si>
  <si>
    <t>EA-0279</t>
  </si>
  <si>
    <t>IC-0030</t>
  </si>
  <si>
    <t>IC-0013</t>
  </si>
  <si>
    <t>EA-0326</t>
  </si>
  <si>
    <t>IC-0087</t>
  </si>
  <si>
    <t>RE-0017</t>
  </si>
  <si>
    <t>EA-0173</t>
  </si>
  <si>
    <t>EA-0234</t>
  </si>
  <si>
    <t>EA-0242</t>
  </si>
  <si>
    <t>PI-0010</t>
  </si>
  <si>
    <t>IC-0083</t>
  </si>
  <si>
    <t>EA-0100</t>
  </si>
  <si>
    <t>EA-0398</t>
  </si>
  <si>
    <t>RE-0024</t>
  </si>
  <si>
    <t>EA-0387</t>
  </si>
  <si>
    <t>IZ-0042</t>
  </si>
  <si>
    <t>IC-0102</t>
  </si>
  <si>
    <t>EA-0366</t>
  </si>
  <si>
    <t>IC-0171</t>
  </si>
  <si>
    <t>EA-0169</t>
  </si>
  <si>
    <t>EA-0014</t>
  </si>
  <si>
    <t>EA-0322</t>
  </si>
  <si>
    <t>EA-0152</t>
  </si>
  <si>
    <t>EA-0190</t>
  </si>
  <si>
    <t>IC-0076</t>
  </si>
  <si>
    <t>EA-0282</t>
  </si>
  <si>
    <t>DF-0013</t>
  </si>
  <si>
    <t>EA-0256</t>
  </si>
  <si>
    <t>RE-0022</t>
  </si>
  <si>
    <t>EA-0235</t>
  </si>
  <si>
    <t>EA-0181</t>
  </si>
  <si>
    <t>IC-0204</t>
  </si>
  <si>
    <t>AC-0011</t>
  </si>
  <si>
    <t>EA-0102</t>
  </si>
  <si>
    <t>IC-0287</t>
  </si>
  <si>
    <t>IC-0117</t>
  </si>
  <si>
    <t>EA-0145</t>
  </si>
  <si>
    <t>EA-0324</t>
  </si>
  <si>
    <t>IC-0041</t>
  </si>
  <si>
    <t>RE-0015</t>
  </si>
  <si>
    <t>EA-0150</t>
  </si>
  <si>
    <t>EA-0441</t>
  </si>
  <si>
    <t>IC-0180</t>
  </si>
  <si>
    <t>IA-0028</t>
  </si>
  <si>
    <t>PI-0022</t>
  </si>
  <si>
    <t>RE-0003</t>
  </si>
  <si>
    <t>EA-0062</t>
  </si>
  <si>
    <t>IZ-0028</t>
  </si>
  <si>
    <t>IA-0013</t>
  </si>
  <si>
    <t>EA-0088</t>
  </si>
  <si>
    <t>EA-0291</t>
  </si>
  <si>
    <t>SO-0009</t>
  </si>
  <si>
    <t>EA-0349</t>
  </si>
  <si>
    <t>SO-0007</t>
  </si>
  <si>
    <t>DF-0018</t>
  </si>
  <si>
    <t>IC-0290</t>
  </si>
  <si>
    <t>IC-0122</t>
  </si>
  <si>
    <t>IC-0283</t>
  </si>
  <si>
    <t>IA-0011</t>
  </si>
  <si>
    <t>IZ-0039</t>
  </si>
  <si>
    <t>IC-0237</t>
  </si>
  <si>
    <t>IC-0006</t>
  </si>
  <si>
    <t>IZ-0014</t>
  </si>
  <si>
    <t>IC-0262</t>
  </si>
  <si>
    <t>SO-0008</t>
  </si>
  <si>
    <t>EA-0140</t>
  </si>
  <si>
    <t>IC-0077</t>
  </si>
  <si>
    <t>EA-0424</t>
  </si>
  <si>
    <t>EA-0443</t>
  </si>
  <si>
    <t>EA-0066</t>
  </si>
  <si>
    <t>EA-0345</t>
  </si>
  <si>
    <t>EA-0299</t>
  </si>
  <si>
    <t>IC-0298</t>
  </si>
  <si>
    <t>EA-0355</t>
  </si>
  <si>
    <t>EA-0285</t>
  </si>
  <si>
    <t>IC-0068</t>
  </si>
  <si>
    <t>IC-0012</t>
  </si>
  <si>
    <t>EA-0412</t>
  </si>
  <si>
    <t>IC-0082</t>
  </si>
  <si>
    <t>PI-0016</t>
  </si>
  <si>
    <t>IZ-0054</t>
  </si>
  <si>
    <t>IC-0278</t>
  </si>
  <si>
    <t>EA-0003</t>
  </si>
  <si>
    <t>EA-0317</t>
  </si>
  <si>
    <t>EA-0308</t>
  </si>
  <si>
    <t>IA-0035</t>
  </si>
  <si>
    <t>EA-0230</t>
  </si>
  <si>
    <t>PI-0001</t>
  </si>
  <si>
    <t>IA-0012</t>
  </si>
  <si>
    <t>IZ-0052</t>
  </si>
  <si>
    <t>EA-0057</t>
  </si>
  <si>
    <t>EA-0289</t>
  </si>
  <si>
    <t>EA-0124</t>
  </si>
  <si>
    <t>EA-0176</t>
  </si>
  <si>
    <t>EA-0409</t>
  </si>
  <si>
    <t>EA-0284</t>
  </si>
  <si>
    <t>IZ-0016</t>
  </si>
  <si>
    <t>AC-0013</t>
  </si>
  <si>
    <t>EA-0353</t>
  </si>
  <si>
    <t>IC-0253</t>
  </si>
  <si>
    <t>IC-0031</t>
  </si>
  <si>
    <t>EA-0260</t>
  </si>
  <si>
    <t>IA-0025</t>
  </si>
  <si>
    <t>AC-0018</t>
  </si>
  <si>
    <t>IC-0196</t>
  </si>
  <si>
    <t>EA-0435</t>
  </si>
  <si>
    <t>IC-0081</t>
  </si>
  <si>
    <t>AC-0014</t>
  </si>
  <si>
    <t>EA-0060</t>
  </si>
  <si>
    <t>EA-0310</t>
  </si>
  <si>
    <t>DF-0023</t>
  </si>
  <si>
    <t>IZ-0068</t>
  </si>
  <si>
    <t>IA-0017</t>
  </si>
  <si>
    <t>EA-0224</t>
  </si>
  <si>
    <t>EA-0354</t>
  </si>
  <si>
    <t>H</t>
  </si>
  <si>
    <t>IC-0078</t>
  </si>
  <si>
    <t>EA-0029</t>
  </si>
  <si>
    <t>EA-0203</t>
  </si>
  <si>
    <t>EA-0228</t>
  </si>
  <si>
    <t>IA-0050</t>
  </si>
  <si>
    <t>EA-0356</t>
  </si>
  <si>
    <t>IC-0175</t>
  </si>
  <si>
    <t>IC-0188</t>
  </si>
  <si>
    <t>EA-0313</t>
  </si>
  <si>
    <t>EA-0032</t>
  </si>
  <si>
    <t>AC-0007</t>
  </si>
  <si>
    <t>EA-0248</t>
  </si>
  <si>
    <t>EA-0126</t>
  </si>
  <si>
    <t>IC-0146</t>
  </si>
  <si>
    <t>IZ-0015</t>
  </si>
  <si>
    <t>IC-0140</t>
  </si>
  <si>
    <t>IC-0072</t>
  </si>
  <si>
    <t>EA-0104</t>
  </si>
  <si>
    <t>IC-0177</t>
  </si>
  <si>
    <t>IC-0181</t>
  </si>
  <si>
    <t>EA-0408</t>
  </si>
  <si>
    <t>IZ-0043</t>
  </si>
  <si>
    <t>EA-0094</t>
  </si>
  <si>
    <t>IZ-0018</t>
  </si>
  <si>
    <t>EA-0016</t>
  </si>
  <si>
    <t>EA-0038</t>
  </si>
  <si>
    <t>SO-0002</t>
  </si>
  <si>
    <t>IC-0202</t>
  </si>
  <si>
    <t>SO-0013</t>
  </si>
  <si>
    <t>EA-0362</t>
  </si>
  <si>
    <t>EA-0259</t>
  </si>
  <si>
    <t>DF-0001</t>
  </si>
  <si>
    <t>IA-0046</t>
  </si>
  <si>
    <t>EA-0418</t>
  </si>
  <si>
    <t>IZ-0074</t>
  </si>
  <si>
    <t>EA-0108</t>
  </si>
  <si>
    <t>IA-0031</t>
  </si>
  <si>
    <t>EA-0436</t>
  </si>
  <si>
    <t>EA-0211</t>
  </si>
  <si>
    <t>EA-0386</t>
  </si>
  <si>
    <t>IC-0161</t>
  </si>
  <si>
    <t>IC-0294</t>
  </si>
  <si>
    <t>EA-0002</t>
  </si>
  <si>
    <t>IZ-0027</t>
  </si>
  <si>
    <t>IC-0079</t>
  </si>
  <si>
    <t>IZ-0041</t>
  </si>
  <si>
    <t>IA-0044</t>
  </si>
  <si>
    <t>IC-0256</t>
  </si>
  <si>
    <t>IA-0023</t>
  </si>
  <si>
    <t>EA-0137</t>
  </si>
  <si>
    <t>IC-0244</t>
  </si>
  <si>
    <t>EA-0122</t>
  </si>
  <si>
    <t>IC-0097</t>
  </si>
  <si>
    <t>EA-0273</t>
  </si>
  <si>
    <t>IC-0219</t>
  </si>
  <si>
    <t>IC-0164</t>
  </si>
  <si>
    <t>IA-0008</t>
  </si>
  <si>
    <t>EA-0218</t>
  </si>
  <si>
    <t>IC-0211</t>
  </si>
  <si>
    <t>EA-0375</t>
  </si>
  <si>
    <t>EA-0267</t>
  </si>
  <si>
    <t>IZ-0004</t>
  </si>
  <si>
    <t>EA-0288</t>
  </si>
  <si>
    <t>EA-0109</t>
  </si>
  <si>
    <t>EA-0095</t>
  </si>
  <si>
    <t>IC-0167</t>
  </si>
  <si>
    <t>IA-0042</t>
  </si>
  <si>
    <t>DF-0002</t>
  </si>
  <si>
    <t>EA-0336</t>
  </si>
  <si>
    <t>EA-0280</t>
  </si>
  <si>
    <t>EA-0209</t>
  </si>
  <si>
    <t>EA-0144</t>
  </si>
  <si>
    <t>EA-0421</t>
  </si>
  <si>
    <t>EA-0283</t>
  </si>
  <si>
    <t>IC-0194</t>
  </si>
  <si>
    <t>IZ-0013</t>
  </si>
  <si>
    <t>IZ-0073</t>
  </si>
  <si>
    <t>IZ-0006</t>
  </si>
  <si>
    <t>EA-0350</t>
  </si>
  <si>
    <t>IC-0067</t>
  </si>
  <si>
    <t>AC-0016</t>
  </si>
  <si>
    <t>EA-0257</t>
  </si>
  <si>
    <t>IC-0095</t>
  </si>
  <si>
    <t>IZ-0033</t>
  </si>
  <si>
    <t>EA-0265</t>
  </si>
  <si>
    <t>IC-0049</t>
  </si>
  <si>
    <t>EA-0312</t>
  </si>
  <si>
    <t>EA-0415</t>
  </si>
  <si>
    <t>EA-0212</t>
  </si>
  <si>
    <t>EA-0445</t>
  </si>
  <si>
    <t>IC-0255</t>
  </si>
  <si>
    <t>EA-0075</t>
  </si>
  <si>
    <t>IZ-0007</t>
  </si>
  <si>
    <t>EA-0372</t>
  </si>
  <si>
    <t>IC-0098</t>
  </si>
  <si>
    <t>IC-0224</t>
  </si>
  <si>
    <t>EA-0373</t>
  </si>
  <si>
    <t>EA-0334</t>
  </si>
  <si>
    <t>AC-0015</t>
  </si>
  <si>
    <t>AC-0023</t>
  </si>
  <si>
    <t>EA-0006</t>
  </si>
  <si>
    <t>EA-0131</t>
  </si>
  <si>
    <t>EA-0214</t>
  </si>
  <si>
    <t>IC-0239</t>
  </si>
  <si>
    <t>EA-0202</t>
  </si>
  <si>
    <t>SO-0024</t>
  </si>
  <si>
    <t>IC-0221</t>
  </si>
  <si>
    <t>IC-0299</t>
  </si>
  <si>
    <t>IC-0112</t>
  </si>
  <si>
    <t>SO-0021</t>
  </si>
  <si>
    <t>EA-0037</t>
  </si>
  <si>
    <t>EA-0401</t>
  </si>
  <si>
    <t>IC-0021</t>
  </si>
  <si>
    <t>EA-0191</t>
  </si>
  <si>
    <t>IC-0054</t>
  </si>
  <si>
    <t>IA-0006</t>
  </si>
  <si>
    <t>EA-0332</t>
  </si>
  <si>
    <t>IC-0183</t>
  </si>
  <si>
    <t>IC-0153</t>
  </si>
  <si>
    <t>SO-0025</t>
  </si>
  <si>
    <t>DF-0021</t>
  </si>
  <si>
    <t>EA-0196</t>
  </si>
  <si>
    <t>IC-0009</t>
  </si>
  <si>
    <t>EA-0238</t>
  </si>
  <si>
    <t>IC-0128</t>
  </si>
  <si>
    <t>EA-0294</t>
  </si>
  <si>
    <t>EA-0416</t>
  </si>
  <si>
    <t>IC-0114</t>
  </si>
  <si>
    <t>EA-0368</t>
  </si>
  <si>
    <t>IC-0192</t>
  </si>
  <si>
    <r>
      <rPr>
        <b/>
        <sz val="16"/>
        <color rgb="FFFF0000"/>
        <rFont val="Calibri"/>
        <family val="2"/>
      </rPr>
      <t>↑</t>
    </r>
    <r>
      <rPr>
        <sz val="16"/>
        <color theme="1"/>
        <rFont val="Calibri"/>
        <family val="2"/>
      </rPr>
      <t xml:space="preserve"> = </t>
    </r>
    <r>
      <rPr>
        <b/>
        <sz val="16"/>
        <color rgb="FFFF0000"/>
        <rFont val="Calibri"/>
        <family val="2"/>
      </rPr>
      <t xml:space="preserve">MIN </t>
    </r>
    <r>
      <rPr>
        <sz val="16"/>
        <color theme="1"/>
        <rFont val="Calibri"/>
        <family val="2"/>
      </rPr>
      <t>(J4:J28)</t>
    </r>
  </si>
  <si>
    <t>Caja</t>
  </si>
  <si>
    <t>Almacen3</t>
  </si>
  <si>
    <t>&lt;&gt;10</t>
  </si>
  <si>
    <t>Botella</t>
  </si>
  <si>
    <t>&lt;15</t>
  </si>
  <si>
    <t>&gt;2000</t>
  </si>
  <si>
    <t>Almacen1</t>
  </si>
  <si>
    <t>&lt;=2000</t>
  </si>
  <si>
    <t>Almacen4</t>
  </si>
  <si>
    <t>SUMAR.SI.CONJUNTO(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</si>
</sst>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S/&quot;\ * #,##0.00_-;\-&quot;S/&quot;\ * #,##0.00_-;_-&quot;S/&quot;\ * &quot;-&quot;??_-;_-@_-"/>
    <numFmt numFmtId="43" formatCode="_-* #,##0.00_-;\-* #,##0.00_-;_-* &quot;-&quot;??_-;_-@_-"/>
    <numFmt numFmtId="164" formatCode="_-[$S/-280A]\ * #,##0.00_-;\-[$S/-280A]\ * #,##0.00_-;_-[$S/-280A]\ * &quot;-&quot;??_-;_-@_-"/>
    <numFmt numFmtId="165" formatCode="_-&quot;S/&quot;* #,##0.00_-;\-&quot;S/&quot;* #,##0.00_-;_-&quot;S/&quot;* &quot;-&quot;??_-;_-@_-"/>
    <numFmt numFmtId="166" formatCode="0\ &quot;punto&quot;"/>
    <numFmt numFmtId="167" formatCode="_-&quot;S/.&quot;* #,##0.00_-;\-&quot;S/.&quot;* #,##0.00_-;_-&quot;S/.&quot;* &quot;-&quot;??_-;_-@_-"/>
    <numFmt numFmtId="168" formatCode="&quot;S/&quot;\ #,##0.00"/>
    <numFmt numFmtId="170" formatCode="0.0"/>
  </numFmts>
  <fonts count="46"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28"/>
      <color rgb="FFFF0000"/>
      <name val="Calibri"/>
      <family val="2"/>
      <scheme val="minor"/>
    </font>
    <font>
      <b/>
      <sz val="11"/>
      <color theme="0"/>
      <name val="Calibri"/>
      <family val="2"/>
      <scheme val="minor"/>
    </font>
    <font>
      <b/>
      <sz val="12"/>
      <color theme="0"/>
      <name val="Calibri"/>
      <family val="2"/>
      <scheme val="minor"/>
    </font>
    <font>
      <b/>
      <sz val="16"/>
      <color theme="0"/>
      <name val="Calibri"/>
      <family val="2"/>
      <scheme val="minor"/>
    </font>
    <font>
      <b/>
      <sz val="16"/>
      <color theme="1"/>
      <name val="Calibri"/>
      <family val="2"/>
      <scheme val="minor"/>
    </font>
    <font>
      <sz val="24"/>
      <color theme="1"/>
      <name val="Calibri"/>
      <family val="2"/>
      <scheme val="minor"/>
    </font>
    <font>
      <b/>
      <sz val="9"/>
      <color theme="1"/>
      <name val="Calibri"/>
      <family val="2"/>
      <scheme val="minor"/>
    </font>
    <font>
      <sz val="11"/>
      <color theme="1" tint="0.249977111117893"/>
      <name val="Calibri"/>
      <family val="2"/>
      <scheme val="minor"/>
    </font>
    <font>
      <b/>
      <sz val="11"/>
      <color theme="1"/>
      <name val="Calibri"/>
      <family val="2"/>
    </font>
    <font>
      <sz val="18"/>
      <color theme="1"/>
      <name val="Calibri"/>
      <family val="2"/>
      <scheme val="minor"/>
    </font>
    <font>
      <sz val="20"/>
      <color theme="1"/>
      <name val="Calibri"/>
      <family val="2"/>
      <scheme val="minor"/>
    </font>
    <font>
      <b/>
      <u/>
      <sz val="11"/>
      <color theme="1"/>
      <name val="Calibri"/>
      <family val="2"/>
      <scheme val="minor"/>
    </font>
    <font>
      <b/>
      <sz val="10"/>
      <color theme="1"/>
      <name val="Calibri"/>
      <family val="2"/>
      <scheme val="minor"/>
    </font>
    <font>
      <b/>
      <sz val="10"/>
      <color rgb="FF0070C0"/>
      <name val="Calibri"/>
      <family val="2"/>
      <scheme val="minor"/>
    </font>
    <font>
      <b/>
      <sz val="10"/>
      <color rgb="FFFF0000"/>
      <name val="Calibri"/>
      <family val="2"/>
      <scheme val="minor"/>
    </font>
    <font>
      <b/>
      <sz val="8"/>
      <color theme="1"/>
      <name val="Calibri"/>
      <family val="2"/>
      <scheme val="minor"/>
    </font>
    <font>
      <b/>
      <sz val="6"/>
      <color theme="1"/>
      <name val="Calibri"/>
      <family val="2"/>
      <scheme val="minor"/>
    </font>
    <font>
      <b/>
      <sz val="18"/>
      <color theme="1"/>
      <name val="Calibri"/>
      <family val="2"/>
      <scheme val="minor"/>
    </font>
    <font>
      <b/>
      <sz val="8"/>
      <color rgb="FF0070C0"/>
      <name val="Calibri"/>
      <family val="2"/>
      <scheme val="minor"/>
    </font>
    <font>
      <b/>
      <sz val="8"/>
      <color rgb="FF7030A0"/>
      <name val="Calibri"/>
      <family val="2"/>
      <scheme val="minor"/>
    </font>
    <font>
      <b/>
      <sz val="14"/>
      <color theme="0"/>
      <name val="Calibri"/>
      <family val="2"/>
      <scheme val="minor"/>
    </font>
    <font>
      <b/>
      <sz val="11"/>
      <name val="Calibri"/>
      <family val="2"/>
      <scheme val="minor"/>
    </font>
    <font>
      <b/>
      <sz val="10"/>
      <color rgb="FFFFFF00"/>
      <name val="Calibri"/>
      <family val="2"/>
      <scheme val="minor"/>
    </font>
    <font>
      <b/>
      <sz val="11"/>
      <color rgb="FFFFFF00"/>
      <name val="Calibri"/>
      <family val="2"/>
      <scheme val="minor"/>
    </font>
    <font>
      <b/>
      <sz val="12"/>
      <color rgb="FFFFFF00"/>
      <name val="Calibri"/>
      <family val="2"/>
      <scheme val="minor"/>
    </font>
    <font>
      <b/>
      <sz val="12"/>
      <color rgb="FFFF0000"/>
      <name val="Calibri"/>
      <family val="2"/>
      <scheme val="minor"/>
    </font>
    <font>
      <i/>
      <sz val="12"/>
      <color rgb="FFFF0000"/>
      <name val="Calibri"/>
      <family val="2"/>
      <scheme val="minor"/>
    </font>
    <font>
      <b/>
      <sz val="12"/>
      <name val="Calibri"/>
      <family val="2"/>
      <scheme val="minor"/>
    </font>
    <font>
      <b/>
      <i/>
      <sz val="12"/>
      <name val="Calibri"/>
      <family val="2"/>
      <scheme val="minor"/>
    </font>
    <font>
      <sz val="18"/>
      <color theme="0"/>
      <name val="Calibri"/>
      <family val="2"/>
      <scheme val="minor"/>
    </font>
    <font>
      <b/>
      <sz val="28"/>
      <color theme="0"/>
      <name val="Calibri"/>
      <family val="2"/>
      <scheme val="minor"/>
    </font>
    <font>
      <b/>
      <u/>
      <sz val="18"/>
      <color theme="1"/>
      <name val="Calibri"/>
      <family val="2"/>
      <scheme val="minor"/>
    </font>
    <font>
      <sz val="12"/>
      <color theme="1"/>
      <name val="Arial Rounded MT Bold"/>
      <family val="2"/>
    </font>
    <font>
      <b/>
      <sz val="14"/>
      <color theme="0"/>
      <name val="Arial"/>
      <family val="2"/>
    </font>
    <font>
      <sz val="11"/>
      <color theme="1"/>
      <name val="Arial"/>
      <family val="2"/>
    </font>
    <font>
      <b/>
      <sz val="11"/>
      <color theme="1"/>
      <name val="Arial"/>
      <family val="2"/>
    </font>
    <font>
      <b/>
      <sz val="12"/>
      <color theme="1"/>
      <name val="Arial"/>
      <family val="2"/>
    </font>
    <font>
      <b/>
      <i/>
      <sz val="14"/>
      <color theme="1"/>
      <name val="Calibri"/>
      <family val="2"/>
      <scheme val="minor"/>
    </font>
    <font>
      <sz val="16"/>
      <color theme="1"/>
      <name val="Calibri"/>
      <family val="2"/>
    </font>
    <font>
      <b/>
      <sz val="16"/>
      <color rgb="FFFF0000"/>
      <name val="Calibri"/>
      <family val="2"/>
    </font>
  </fonts>
  <fills count="22">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1"/>
        <bgColor indexed="64"/>
      </patternFill>
    </fill>
    <fill>
      <patternFill patternType="solid">
        <fgColor rgb="FFFFC00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B686DA"/>
        <bgColor indexed="64"/>
      </patternFill>
    </fill>
    <fill>
      <patternFill patternType="solid">
        <fgColor rgb="FFFFFF00"/>
        <bgColor theme="1"/>
      </patternFill>
    </fill>
    <fill>
      <patternFill patternType="solid">
        <fgColor rgb="FFFFFF00"/>
        <bgColor theme="0" tint="-0.14999847407452621"/>
      </patternFill>
    </fill>
    <fill>
      <patternFill patternType="solid">
        <fgColor rgb="FF00B0F0"/>
        <bgColor theme="0" tint="-0.14999847407452621"/>
      </patternFill>
    </fill>
    <fill>
      <patternFill patternType="solid">
        <fgColor theme="0" tint="-0.499984740745262"/>
        <bgColor theme="1"/>
      </patternFill>
    </fill>
    <fill>
      <patternFill patternType="solid">
        <fgColor theme="0" tint="-0.14999847407452621"/>
        <bgColor theme="1"/>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thin">
        <color indexed="64"/>
      </right>
      <top style="double">
        <color auto="1"/>
      </top>
      <bottom style="double">
        <color auto="1"/>
      </bottom>
      <diagonal/>
    </border>
    <border>
      <left style="thin">
        <color indexed="64"/>
      </left>
      <right style="thin">
        <color indexed="64"/>
      </right>
      <top style="double">
        <color auto="1"/>
      </top>
      <bottom style="double">
        <color auto="1"/>
      </bottom>
      <diagonal/>
    </border>
    <border>
      <left style="thin">
        <color indexed="64"/>
      </left>
      <right style="double">
        <color auto="1"/>
      </right>
      <top style="double">
        <color auto="1"/>
      </top>
      <bottom style="double">
        <color auto="1"/>
      </bottom>
      <diagonal/>
    </border>
    <border>
      <left style="thin">
        <color indexed="64"/>
      </left>
      <right/>
      <top/>
      <bottom/>
      <diagonal/>
    </border>
    <border>
      <left style="thin">
        <color indexed="64"/>
      </left>
      <right/>
      <top style="double">
        <color auto="1"/>
      </top>
      <bottom style="double">
        <color auto="1"/>
      </bottom>
      <diagonal/>
    </border>
    <border>
      <left style="thin">
        <color indexed="64"/>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theme="0"/>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38" fillId="0" borderId="0"/>
  </cellStyleXfs>
  <cellXfs count="161">
    <xf numFmtId="0" fontId="0" fillId="0" borderId="0" xfId="0"/>
    <xf numFmtId="0" fontId="0" fillId="0" borderId="0" xfId="0" applyAlignment="1">
      <alignment horizontal="center"/>
    </xf>
    <xf numFmtId="0" fontId="6"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49" fontId="0" fillId="0" borderId="0" xfId="0" applyNumberFormat="1" applyAlignment="1">
      <alignment horizontal="center"/>
    </xf>
    <xf numFmtId="0" fontId="5" fillId="9"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3" fillId="0" borderId="1" xfId="0" applyFont="1" applyBorder="1" applyAlignment="1">
      <alignment horizontal="left"/>
    </xf>
    <xf numFmtId="49" fontId="3" fillId="0" borderId="1" xfId="0" applyNumberFormat="1" applyFont="1" applyBorder="1" applyAlignment="1">
      <alignment horizontal="left"/>
    </xf>
    <xf numFmtId="0" fontId="8" fillId="4" borderId="0" xfId="0" applyFont="1" applyFill="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xf>
    <xf numFmtId="0" fontId="10" fillId="0" borderId="0" xfId="0" applyFont="1" applyAlignment="1">
      <alignment horizontal="center"/>
    </xf>
    <xf numFmtId="49" fontId="10" fillId="0" borderId="0" xfId="0" applyNumberFormat="1" applyFont="1" applyAlignment="1">
      <alignment horizontal="center"/>
    </xf>
    <xf numFmtId="0" fontId="4" fillId="0" borderId="0" xfId="0" applyFont="1"/>
    <xf numFmtId="49" fontId="4" fillId="0" borderId="0" xfId="0" applyNumberFormat="1" applyFont="1" applyAlignment="1">
      <alignment horizontal="center"/>
    </xf>
    <xf numFmtId="49" fontId="10" fillId="0" borderId="0" xfId="0" applyNumberFormat="1" applyFont="1"/>
    <xf numFmtId="0" fontId="13" fillId="5" borderId="1" xfId="0" applyFont="1" applyFill="1" applyBorder="1" applyAlignment="1">
      <alignment horizontal="left" vertical="center" wrapText="1" indent="1"/>
    </xf>
    <xf numFmtId="0" fontId="13" fillId="0" borderId="1" xfId="0" applyFont="1" applyBorder="1" applyAlignment="1">
      <alignment horizontal="left" vertical="center" wrapText="1" indent="1"/>
    </xf>
    <xf numFmtId="0" fontId="0" fillId="5" borderId="1" xfId="0" applyFill="1" applyBorder="1" applyAlignment="1">
      <alignment horizontal="center" vertical="center"/>
    </xf>
    <xf numFmtId="0" fontId="0" fillId="0" borderId="0" xfId="0" applyAlignment="1">
      <alignment horizontal="left" indent="1"/>
    </xf>
    <xf numFmtId="0" fontId="0" fillId="5" borderId="1" xfId="0" applyFill="1" applyBorder="1" applyAlignment="1">
      <alignment horizontal="left" vertical="center" indent="1"/>
    </xf>
    <xf numFmtId="0" fontId="0" fillId="0" borderId="1" xfId="0" applyBorder="1" applyAlignment="1">
      <alignment horizontal="left" vertical="center" indent="1"/>
    </xf>
    <xf numFmtId="0" fontId="14" fillId="0" borderId="0" xfId="0" applyFont="1"/>
    <xf numFmtId="0" fontId="3" fillId="0" borderId="1" xfId="0" applyFont="1" applyBorder="1" applyAlignment="1">
      <alignment horizontal="center"/>
    </xf>
    <xf numFmtId="49" fontId="3" fillId="0" borderId="1" xfId="0" applyNumberFormat="1" applyFont="1" applyBorder="1" applyAlignment="1">
      <alignment horizontal="center"/>
    </xf>
    <xf numFmtId="44" fontId="3" fillId="10" borderId="1" xfId="0" applyNumberFormat="1" applyFont="1" applyFill="1" applyBorder="1" applyAlignment="1">
      <alignment horizontal="right"/>
    </xf>
    <xf numFmtId="49" fontId="12"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5" fillId="9" borderId="1" xfId="0" applyFont="1" applyFill="1" applyBorder="1" applyAlignment="1">
      <alignment horizontal="center"/>
    </xf>
    <xf numFmtId="0" fontId="0" fillId="0" borderId="1" xfId="0" applyBorder="1" applyAlignment="1">
      <alignment horizontal="left"/>
    </xf>
    <xf numFmtId="1" fontId="0" fillId="0" borderId="1" xfId="0" applyNumberFormat="1" applyBorder="1" applyAlignment="1">
      <alignment horizontal="center"/>
    </xf>
    <xf numFmtId="49" fontId="0" fillId="0" borderId="1" xfId="0" applyNumberFormat="1" applyBorder="1" applyAlignment="1">
      <alignment horizontal="left"/>
    </xf>
    <xf numFmtId="1" fontId="0" fillId="7" borderId="1" xfId="0" applyNumberFormat="1" applyFill="1" applyBorder="1" applyAlignment="1">
      <alignment horizontal="center"/>
    </xf>
    <xf numFmtId="0" fontId="11" fillId="0" borderId="0" xfId="0" applyFont="1"/>
    <xf numFmtId="165" fontId="0" fillId="11" borderId="1" xfId="0" applyNumberFormat="1" applyFill="1" applyBorder="1"/>
    <xf numFmtId="0" fontId="11" fillId="0" borderId="0" xfId="0" applyFont="1" applyAlignment="1">
      <alignment horizontal="center"/>
    </xf>
    <xf numFmtId="165" fontId="0" fillId="0" borderId="1" xfId="0" applyNumberFormat="1" applyBorder="1" applyAlignment="1">
      <alignment horizontal="center"/>
    </xf>
    <xf numFmtId="1" fontId="4" fillId="0" borderId="1" xfId="0" applyNumberFormat="1" applyFont="1" applyBorder="1" applyAlignment="1">
      <alignment horizontal="center"/>
    </xf>
    <xf numFmtId="165" fontId="4" fillId="0" borderId="1" xfId="0" applyNumberFormat="1" applyFont="1" applyBorder="1"/>
    <xf numFmtId="0" fontId="0" fillId="0" borderId="0" xfId="0" applyAlignment="1">
      <alignment vertical="center"/>
    </xf>
    <xf numFmtId="0" fontId="1" fillId="0" borderId="0" xfId="0" applyFont="1" applyAlignment="1">
      <alignment horizontal="center"/>
    </xf>
    <xf numFmtId="0" fontId="1" fillId="0" borderId="0" xfId="0" applyFont="1" applyAlignment="1">
      <alignment horizontal="center" vertical="center"/>
    </xf>
    <xf numFmtId="0" fontId="17" fillId="0" borderId="0" xfId="0" applyFont="1" applyAlignment="1">
      <alignment horizontal="center" vertical="center"/>
    </xf>
    <xf numFmtId="9" fontId="10" fillId="3" borderId="1" xfId="0" applyNumberFormat="1" applyFont="1" applyFill="1" applyBorder="1" applyAlignment="1">
      <alignment horizontal="center" vertical="center"/>
    </xf>
    <xf numFmtId="0" fontId="3" fillId="7" borderId="1" xfId="0" applyFont="1" applyFill="1" applyBorder="1" applyAlignment="1">
      <alignment horizontal="center"/>
    </xf>
    <xf numFmtId="49" fontId="3" fillId="7" borderId="1" xfId="0" applyNumberFormat="1" applyFont="1" applyFill="1" applyBorder="1" applyAlignment="1">
      <alignment horizontal="center"/>
    </xf>
    <xf numFmtId="164" fontId="3" fillId="11" borderId="1" xfId="0" applyNumberFormat="1" applyFont="1" applyFill="1" applyBorder="1" applyAlignment="1">
      <alignment horizontal="left"/>
    </xf>
    <xf numFmtId="44" fontId="16" fillId="0" borderId="0" xfId="0" applyNumberFormat="1" applyFont="1" applyAlignment="1">
      <alignment vertical="center"/>
    </xf>
    <xf numFmtId="0" fontId="16" fillId="0" borderId="0" xfId="0" applyFont="1" applyAlignment="1">
      <alignment vertical="center"/>
    </xf>
    <xf numFmtId="0" fontId="4" fillId="9"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15" borderId="1" xfId="0" applyFill="1" applyBorder="1" applyAlignment="1">
      <alignment horizontal="center" vertical="center"/>
    </xf>
    <xf numFmtId="0" fontId="23" fillId="14" borderId="1"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3" fillId="5" borderId="22" xfId="0" applyFont="1" applyFill="1" applyBorder="1" applyAlignment="1">
      <alignment horizontal="left" vertical="center" wrapText="1" indent="1"/>
    </xf>
    <xf numFmtId="0" fontId="0" fillId="5" borderId="22" xfId="0" applyFill="1" applyBorder="1" applyAlignment="1">
      <alignment horizontal="center" vertical="center"/>
    </xf>
    <xf numFmtId="166" fontId="23" fillId="13" borderId="1" xfId="0" applyNumberFormat="1" applyFont="1" applyFill="1" applyBorder="1" applyAlignment="1">
      <alignment horizontal="center" vertical="center"/>
    </xf>
    <xf numFmtId="0" fontId="27" fillId="18" borderId="1" xfId="0" applyFont="1" applyFill="1" applyBorder="1" applyAlignment="1">
      <alignment horizontal="center" vertical="center"/>
    </xf>
    <xf numFmtId="0" fontId="27" fillId="18" borderId="23" xfId="0" applyFont="1" applyFill="1" applyBorder="1" applyAlignment="1">
      <alignment horizontal="left" vertical="center" wrapText="1"/>
    </xf>
    <xf numFmtId="0" fontId="3" fillId="5" borderId="1" xfId="0" applyFont="1" applyFill="1" applyBorder="1" applyAlignment="1">
      <alignment horizontal="center"/>
    </xf>
    <xf numFmtId="0" fontId="4" fillId="0" borderId="0" xfId="0" applyFont="1" applyAlignment="1">
      <alignment vertical="center"/>
    </xf>
    <xf numFmtId="0" fontId="3" fillId="0" borderId="0" xfId="0" applyFont="1" applyAlignment="1">
      <alignment vertical="top" wrapText="1"/>
    </xf>
    <xf numFmtId="0" fontId="3" fillId="0" borderId="0" xfId="0" applyFont="1" applyAlignment="1">
      <alignment horizontal="left" vertical="top" wrapText="1"/>
    </xf>
    <xf numFmtId="0" fontId="9" fillId="6" borderId="26" xfId="0" applyFont="1" applyFill="1" applyBorder="1" applyAlignment="1">
      <alignment horizontal="center" vertical="center" wrapText="1"/>
    </xf>
    <xf numFmtId="0" fontId="9" fillId="6" borderId="2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31" fillId="0" borderId="0" xfId="0" applyFont="1" applyAlignment="1">
      <alignment horizontal="left"/>
    </xf>
    <xf numFmtId="0" fontId="37" fillId="0" borderId="0" xfId="0" applyFont="1" applyAlignment="1">
      <alignment horizontal="right" vertical="center"/>
    </xf>
    <xf numFmtId="0" fontId="40" fillId="0" borderId="0" xfId="0" applyFont="1"/>
    <xf numFmtId="0" fontId="40" fillId="0" borderId="0" xfId="0" applyFont="1" applyAlignment="1">
      <alignment vertical="center"/>
    </xf>
    <xf numFmtId="49" fontId="40" fillId="0" borderId="1" xfId="0" applyNumberFormat="1" applyFont="1" applyBorder="1" applyAlignment="1">
      <alignment horizontal="center"/>
    </xf>
    <xf numFmtId="0" fontId="40" fillId="0" borderId="1" xfId="0" applyFont="1" applyBorder="1" applyAlignment="1">
      <alignment horizontal="center"/>
    </xf>
    <xf numFmtId="167" fontId="40" fillId="0" borderId="1" xfId="0" applyNumberFormat="1" applyFont="1" applyBorder="1" applyAlignment="1">
      <alignment horizontal="center"/>
    </xf>
    <xf numFmtId="1" fontId="40" fillId="0" borderId="1" xfId="0" applyNumberFormat="1" applyFont="1" applyBorder="1" applyAlignment="1">
      <alignment horizontal="center"/>
    </xf>
    <xf numFmtId="14" fontId="40" fillId="0" borderId="1" xfId="0" applyNumberFormat="1" applyFont="1" applyBorder="1" applyAlignment="1">
      <alignment horizontal="center"/>
    </xf>
    <xf numFmtId="0" fontId="40" fillId="0" borderId="1" xfId="0" applyFont="1" applyBorder="1" applyAlignment="1">
      <alignment horizontal="center" vertical="center"/>
    </xf>
    <xf numFmtId="0" fontId="39" fillId="6" borderId="0" xfId="1" applyFont="1" applyFill="1" applyAlignment="1">
      <alignment horizontal="center" vertical="center" wrapText="1"/>
    </xf>
    <xf numFmtId="0" fontId="39" fillId="6" borderId="29" xfId="1" applyFont="1" applyFill="1" applyBorder="1" applyAlignment="1">
      <alignment horizontal="center" vertical="center" wrapText="1"/>
    </xf>
    <xf numFmtId="43" fontId="40" fillId="0" borderId="1" xfId="0" applyNumberFormat="1" applyFont="1" applyBorder="1" applyAlignment="1">
      <alignment horizontal="center"/>
    </xf>
    <xf numFmtId="0" fontId="0" fillId="0" borderId="0" xfId="0" applyAlignment="1">
      <alignment wrapText="1"/>
    </xf>
    <xf numFmtId="14" fontId="0" fillId="0" borderId="1" xfId="0" applyNumberFormat="1" applyBorder="1"/>
    <xf numFmtId="168" fontId="0" fillId="0" borderId="1" xfId="0" applyNumberFormat="1" applyBorder="1"/>
    <xf numFmtId="0" fontId="42" fillId="3" borderId="1" xfId="0" applyFont="1" applyFill="1" applyBorder="1" applyAlignment="1">
      <alignment vertical="center"/>
    </xf>
    <xf numFmtId="0" fontId="0" fillId="0" borderId="0" xfId="0" applyAlignment="1">
      <alignment horizontal="left"/>
    </xf>
    <xf numFmtId="0" fontId="42" fillId="0" borderId="0" xfId="0" applyFont="1" applyAlignment="1">
      <alignment horizontal="center" vertical="center"/>
    </xf>
    <xf numFmtId="0" fontId="42" fillId="7" borderId="1" xfId="0" applyFont="1" applyFill="1" applyBorder="1" applyAlignment="1">
      <alignment vertical="center"/>
    </xf>
    <xf numFmtId="0" fontId="41" fillId="0" borderId="0" xfId="0" applyFont="1"/>
    <xf numFmtId="0" fontId="42" fillId="0" borderId="0" xfId="0" applyFont="1" applyAlignment="1">
      <alignment horizontal="left" vertical="center" readingOrder="1"/>
    </xf>
    <xf numFmtId="0" fontId="40" fillId="3" borderId="1" xfId="0" applyFont="1" applyFill="1" applyBorder="1"/>
    <xf numFmtId="0" fontId="40" fillId="7" borderId="1" xfId="0" applyFont="1" applyFill="1" applyBorder="1"/>
    <xf numFmtId="0" fontId="40" fillId="11" borderId="1" xfId="0" applyFont="1" applyFill="1" applyBorder="1"/>
    <xf numFmtId="0" fontId="42" fillId="3" borderId="1" xfId="0" applyFont="1" applyFill="1" applyBorder="1" applyAlignment="1">
      <alignment horizontal="center" vertical="center"/>
    </xf>
    <xf numFmtId="0" fontId="42" fillId="0" borderId="0" xfId="0" applyFont="1" applyAlignment="1">
      <alignment horizontal="center"/>
    </xf>
    <xf numFmtId="0" fontId="11" fillId="0" borderId="17" xfId="0" applyFont="1" applyBorder="1" applyAlignment="1">
      <alignment horizontal="center"/>
    </xf>
    <xf numFmtId="0" fontId="11" fillId="0" borderId="18" xfId="0" applyFont="1" applyBorder="1" applyAlignment="1">
      <alignment horizontal="center"/>
    </xf>
    <xf numFmtId="0" fontId="11" fillId="0" borderId="21" xfId="0" applyFont="1" applyBorder="1" applyAlignment="1">
      <alignment horizontal="center"/>
    </xf>
    <xf numFmtId="0" fontId="11" fillId="0" borderId="19" xfId="0" applyFont="1" applyBorder="1" applyAlignment="1">
      <alignment horizontal="center"/>
    </xf>
    <xf numFmtId="0" fontId="11" fillId="0" borderId="8"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165" fontId="4" fillId="0" borderId="1" xfId="0" applyNumberFormat="1" applyFont="1" applyBorder="1" applyAlignment="1">
      <alignment horizontal="center" vertical="center"/>
    </xf>
    <xf numFmtId="0" fontId="4" fillId="0" borderId="1" xfId="0" applyFont="1" applyBorder="1" applyAlignment="1">
      <alignment horizontal="center" vertical="center"/>
    </xf>
    <xf numFmtId="1" fontId="4" fillId="7" borderId="2" xfId="0" applyNumberFormat="1" applyFont="1" applyFill="1" applyBorder="1" applyAlignment="1">
      <alignment horizontal="right"/>
    </xf>
    <xf numFmtId="1" fontId="4" fillId="7" borderId="6" xfId="0" applyNumberFormat="1" applyFont="1" applyFill="1" applyBorder="1" applyAlignment="1">
      <alignment horizontal="right"/>
    </xf>
    <xf numFmtId="1" fontId="4" fillId="7" borderId="3" xfId="0" applyNumberFormat="1" applyFont="1" applyFill="1" applyBorder="1" applyAlignment="1">
      <alignment horizontal="right"/>
    </xf>
    <xf numFmtId="0" fontId="11" fillId="0" borderId="11"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1" fillId="0" borderId="16" xfId="0" applyFont="1" applyBorder="1" applyAlignment="1">
      <alignment horizontal="center"/>
    </xf>
    <xf numFmtId="0" fontId="4" fillId="3" borderId="1" xfId="0" applyFont="1" applyFill="1" applyBorder="1" applyAlignment="1">
      <alignment horizontal="center" wrapText="1"/>
    </xf>
    <xf numFmtId="0" fontId="4" fillId="12" borderId="1" xfId="0" applyFont="1" applyFill="1" applyBorder="1" applyAlignment="1">
      <alignment horizontal="center" wrapText="1"/>
    </xf>
    <xf numFmtId="0" fontId="4" fillId="13" borderId="1" xfId="0" applyFont="1" applyFill="1" applyBorder="1" applyAlignment="1">
      <alignment horizontal="center" wrapText="1"/>
    </xf>
    <xf numFmtId="0" fontId="4" fillId="11" borderId="1" xfId="0" applyFont="1" applyFill="1" applyBorder="1" applyAlignment="1">
      <alignment horizontal="right"/>
    </xf>
    <xf numFmtId="0" fontId="5" fillId="9" borderId="1" xfId="0" applyFont="1" applyFill="1" applyBorder="1" applyAlignment="1">
      <alignment horizontal="center" vertical="center" wrapText="1"/>
    </xf>
    <xf numFmtId="0" fontId="31" fillId="0" borderId="20" xfId="0" applyFont="1" applyBorder="1" applyAlignment="1">
      <alignment horizontal="left"/>
    </xf>
    <xf numFmtId="0" fontId="31" fillId="0" borderId="0" xfId="0" applyFont="1" applyAlignment="1">
      <alignment horizontal="left"/>
    </xf>
    <xf numFmtId="0" fontId="9" fillId="8" borderId="2" xfId="0" applyFont="1" applyFill="1" applyBorder="1" applyAlignment="1">
      <alignment horizontal="center" vertical="center"/>
    </xf>
    <xf numFmtId="0" fontId="9" fillId="8" borderId="6"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24"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25" xfId="0" applyFont="1" applyFill="1" applyBorder="1" applyAlignment="1">
      <alignment horizontal="center" vertical="center"/>
    </xf>
    <xf numFmtId="0" fontId="7" fillId="17" borderId="0" xfId="0" applyFont="1" applyFill="1" applyAlignment="1">
      <alignment horizontal="center" vertical="center" wrapText="1"/>
    </xf>
    <xf numFmtId="0" fontId="7" fillId="17" borderId="4" xfId="0" applyFont="1" applyFill="1" applyBorder="1" applyAlignment="1">
      <alignment horizontal="center" vertical="center" wrapText="1"/>
    </xf>
    <xf numFmtId="0" fontId="1" fillId="0" borderId="1" xfId="0" applyFont="1" applyBorder="1" applyAlignment="1">
      <alignment horizontal="center" vertical="center"/>
    </xf>
    <xf numFmtId="0" fontId="7" fillId="17" borderId="5" xfId="0" applyFont="1" applyFill="1" applyBorder="1" applyAlignment="1">
      <alignment horizontal="center" vertical="center" wrapText="1"/>
    </xf>
    <xf numFmtId="0" fontId="44" fillId="0" borderId="5" xfId="0" applyFont="1" applyBorder="1" applyAlignment="1">
      <alignment horizontal="center" vertical="center"/>
    </xf>
    <xf numFmtId="0" fontId="44" fillId="0" borderId="0" xfId="0" applyFont="1" applyAlignment="1">
      <alignment horizontal="center" vertical="center"/>
    </xf>
    <xf numFmtId="0" fontId="36" fillId="6" borderId="0" xfId="0" applyFont="1" applyFill="1" applyAlignment="1">
      <alignment horizontal="center" vertical="center"/>
    </xf>
    <xf numFmtId="0" fontId="10" fillId="0" borderId="0" xfId="0" applyFont="1" applyAlignment="1">
      <alignment horizontal="left" vertical="center"/>
    </xf>
    <xf numFmtId="0" fontId="3" fillId="0" borderId="1" xfId="0" applyFont="1" applyBorder="1" applyAlignment="1">
      <alignment horizontal="left" vertical="top" wrapText="1"/>
    </xf>
    <xf numFmtId="0" fontId="35" fillId="6" borderId="0" xfId="0" applyFont="1" applyFill="1" applyAlignment="1">
      <alignment horizontal="center" vertical="center" wrapText="1"/>
    </xf>
    <xf numFmtId="0" fontId="15" fillId="7" borderId="1" xfId="0" applyFont="1" applyFill="1" applyBorder="1" applyAlignment="1">
      <alignment horizontal="center" vertical="top" wrapText="1"/>
    </xf>
    <xf numFmtId="0" fontId="7" fillId="8" borderId="0" xfId="0" applyFont="1" applyFill="1" applyAlignment="1">
      <alignment horizontal="center" vertical="center" wrapText="1"/>
    </xf>
    <xf numFmtId="0" fontId="0" fillId="0" borderId="0" xfId="0" applyAlignment="1">
      <alignment horizontal="left" vertical="center" wrapText="1"/>
    </xf>
    <xf numFmtId="0" fontId="7" fillId="2" borderId="0" xfId="0" applyFont="1" applyFill="1" applyAlignment="1">
      <alignment horizontal="center" vertical="center" wrapText="1"/>
    </xf>
    <xf numFmtId="0" fontId="42" fillId="0" borderId="1" xfId="0" applyFont="1" applyBorder="1" applyAlignment="1">
      <alignment horizontal="center" vertical="center"/>
    </xf>
    <xf numFmtId="0" fontId="0" fillId="0" borderId="0" xfId="0" applyAlignment="1">
      <alignment horizontal="center" vertical="center" wrapText="1"/>
    </xf>
    <xf numFmtId="0" fontId="7" fillId="2" borderId="0" xfId="0" applyFont="1" applyFill="1" applyAlignment="1">
      <alignment horizontal="center" vertical="center"/>
    </xf>
    <xf numFmtId="0" fontId="7" fillId="8" borderId="0" xfId="0" applyFont="1" applyFill="1" applyAlignment="1">
      <alignment horizontal="center" vertical="center"/>
    </xf>
    <xf numFmtId="0" fontId="42" fillId="19" borderId="1" xfId="0" applyFont="1" applyFill="1" applyBorder="1" applyAlignment="1">
      <alignment horizontal="center" vertical="center" readingOrder="1"/>
    </xf>
    <xf numFmtId="0" fontId="40" fillId="0" borderId="1" xfId="0" applyFont="1" applyBorder="1" applyAlignment="1">
      <alignment horizontal="center"/>
    </xf>
    <xf numFmtId="0" fontId="26" fillId="2" borderId="0" xfId="0" applyFont="1" applyFill="1" applyAlignment="1">
      <alignment horizontal="center" vertical="center" wrapText="1"/>
    </xf>
    <xf numFmtId="0" fontId="40" fillId="0" borderId="30" xfId="0" applyFont="1" applyBorder="1" applyAlignment="1">
      <alignment horizontal="center"/>
    </xf>
    <xf numFmtId="0" fontId="40" fillId="0" borderId="7" xfId="0" applyFont="1" applyBorder="1" applyAlignment="1">
      <alignment horizontal="center"/>
    </xf>
    <xf numFmtId="0" fontId="40" fillId="0" borderId="22" xfId="0" applyFont="1" applyBorder="1" applyAlignment="1">
      <alignment horizontal="center"/>
    </xf>
    <xf numFmtId="44" fontId="3" fillId="0" borderId="1" xfId="0" applyNumberFormat="1" applyFont="1" applyBorder="1" applyAlignment="1">
      <alignment horizontal="left"/>
    </xf>
    <xf numFmtId="2" fontId="0" fillId="16" borderId="1" xfId="0" applyNumberFormat="1" applyFill="1" applyBorder="1" applyAlignment="1">
      <alignment horizontal="center" vertical="center"/>
    </xf>
    <xf numFmtId="1" fontId="0" fillId="0" borderId="1" xfId="0" applyNumberFormat="1" applyBorder="1" applyAlignment="1">
      <alignment horizontal="center" vertical="center"/>
    </xf>
    <xf numFmtId="1" fontId="1" fillId="0" borderId="1" xfId="0" applyNumberFormat="1" applyFont="1" applyBorder="1" applyAlignment="1">
      <alignment horizontal="center" vertical="center"/>
    </xf>
    <xf numFmtId="170" fontId="3" fillId="15" borderId="1" xfId="0" applyNumberFormat="1" applyFont="1" applyFill="1" applyBorder="1" applyAlignment="1">
      <alignment horizontal="center"/>
    </xf>
    <xf numFmtId="170" fontId="15" fillId="7" borderId="1" xfId="0" applyNumberFormat="1" applyFont="1" applyFill="1" applyBorder="1" applyAlignment="1">
      <alignment horizontal="center" vertical="top" wrapText="1"/>
    </xf>
    <xf numFmtId="49" fontId="0" fillId="0" borderId="1" xfId="0" applyNumberFormat="1" applyFill="1" applyBorder="1" applyAlignment="1">
      <alignment horizontal="left"/>
    </xf>
    <xf numFmtId="0" fontId="42" fillId="20" borderId="1" xfId="0" applyFont="1" applyFill="1" applyBorder="1" applyAlignment="1">
      <alignment vertical="center"/>
    </xf>
    <xf numFmtId="0" fontId="42" fillId="21" borderId="1" xfId="0" applyFont="1" applyFill="1" applyBorder="1" applyAlignment="1">
      <alignment vertical="center"/>
    </xf>
  </cellXfs>
  <cellStyles count="2">
    <cellStyle name="Normal" xfId="0" builtinId="0"/>
    <cellStyle name="Normal 2" xfId="1"/>
  </cellStyles>
  <dxfs count="4">
    <dxf>
      <font>
        <color auto="1"/>
      </font>
      <fill>
        <patternFill>
          <bgColor theme="5" tint="0.79998168889431442"/>
        </patternFill>
      </fill>
    </dxf>
    <dxf>
      <font>
        <b val="0"/>
        <i val="0"/>
        <u/>
        <color theme="5" tint="0.79998168889431442"/>
      </font>
    </dxf>
    <dxf>
      <font>
        <color auto="1"/>
      </font>
      <fill>
        <patternFill>
          <bgColor theme="5" tint="0.79998168889431442"/>
        </patternFill>
      </fill>
    </dxf>
    <dxf>
      <font>
        <b val="0"/>
        <i val="0"/>
        <u/>
        <color theme="5" tint="0.79998168889431442"/>
      </font>
    </dxf>
  </dxfs>
  <tableStyles count="0" defaultTableStyle="TableStyleMedium2" defaultPivotStyle="PivotStyleLight16"/>
  <colors>
    <mruColors>
      <color rgb="FFB686DA"/>
      <color rgb="FFAA7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755026</xdr:colOff>
      <xdr:row>53</xdr:row>
      <xdr:rowOff>172883</xdr:rowOff>
    </xdr:to>
    <xdr:pic>
      <xdr:nvPicPr>
        <xdr:cNvPr id="2" name="Imagen 1">
          <a:extLst>
            <a:ext uri="{FF2B5EF4-FFF2-40B4-BE49-F238E27FC236}">
              <a16:creationId xmlns:a16="http://schemas.microsoft.com/office/drawing/2014/main" id="{2DDE8BF8-82D1-9111-31AA-498EDF767D8C}"/>
            </a:ext>
          </a:extLst>
        </xdr:cNvPr>
        <xdr:cNvPicPr>
          <a:picLocks noChangeAspect="1"/>
        </xdr:cNvPicPr>
      </xdr:nvPicPr>
      <xdr:blipFill>
        <a:blip xmlns:r="http://schemas.openxmlformats.org/officeDocument/2006/relationships" r:embed="rId1"/>
        <a:stretch>
          <a:fillRect/>
        </a:stretch>
      </xdr:blipFill>
      <xdr:spPr>
        <a:xfrm>
          <a:off x="0" y="0"/>
          <a:ext cx="18281026" cy="102693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682360</xdr:colOff>
      <xdr:row>3</xdr:row>
      <xdr:rowOff>9525</xdr:rowOff>
    </xdr:from>
    <xdr:to>
      <xdr:col>14</xdr:col>
      <xdr:colOff>479690</xdr:colOff>
      <xdr:row>18</xdr:row>
      <xdr:rowOff>9525</xdr:rowOff>
    </xdr:to>
    <xdr:sp macro="" textlink="">
      <xdr:nvSpPr>
        <xdr:cNvPr id="5" name="Cerrar llave 4">
          <a:extLst>
            <a:ext uri="{FF2B5EF4-FFF2-40B4-BE49-F238E27FC236}">
              <a16:creationId xmlns:a16="http://schemas.microsoft.com/office/drawing/2014/main" id="{021CFE5A-642E-4B0C-DC18-9D6FF0AE8F23}"/>
            </a:ext>
          </a:extLst>
        </xdr:cNvPr>
        <xdr:cNvSpPr/>
      </xdr:nvSpPr>
      <xdr:spPr>
        <a:xfrm>
          <a:off x="12407635" y="838200"/>
          <a:ext cx="568855" cy="2867025"/>
        </a:xfrm>
        <a:prstGeom prst="rightBrace">
          <a:avLst>
            <a:gd name="adj1" fmla="val 56481"/>
            <a:gd name="adj2" fmla="val 50000"/>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PE" sz="1100"/>
        </a:p>
      </xdr:txBody>
    </xdr:sp>
    <xdr:clientData/>
  </xdr:twoCellAnchor>
  <xdr:twoCellAnchor>
    <xdr:from>
      <xdr:col>1</xdr:col>
      <xdr:colOff>47625</xdr:colOff>
      <xdr:row>2</xdr:row>
      <xdr:rowOff>104775</xdr:rowOff>
    </xdr:from>
    <xdr:to>
      <xdr:col>2</xdr:col>
      <xdr:colOff>295275</xdr:colOff>
      <xdr:row>4</xdr:row>
      <xdr:rowOff>66675</xdr:rowOff>
    </xdr:to>
    <xdr:sp macro="" textlink="">
      <xdr:nvSpPr>
        <xdr:cNvPr id="6" name="Rectángulo 5">
          <a:extLst>
            <a:ext uri="{FF2B5EF4-FFF2-40B4-BE49-F238E27FC236}">
              <a16:creationId xmlns:a16="http://schemas.microsoft.com/office/drawing/2014/main" id="{2F70D203-2E6B-557C-BD0D-DC9CCFB7A441}"/>
            </a:ext>
          </a:extLst>
        </xdr:cNvPr>
        <xdr:cNvSpPr/>
      </xdr:nvSpPr>
      <xdr:spPr>
        <a:xfrm>
          <a:off x="809625" y="733425"/>
          <a:ext cx="1009650" cy="40957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47624</xdr:colOff>
      <xdr:row>5</xdr:row>
      <xdr:rowOff>66675</xdr:rowOff>
    </xdr:from>
    <xdr:to>
      <xdr:col>2</xdr:col>
      <xdr:colOff>628649</xdr:colOff>
      <xdr:row>7</xdr:row>
      <xdr:rowOff>95250</xdr:rowOff>
    </xdr:to>
    <xdr:sp macro="" textlink="">
      <xdr:nvSpPr>
        <xdr:cNvPr id="7" name="Rectángulo 6">
          <a:extLst>
            <a:ext uri="{FF2B5EF4-FFF2-40B4-BE49-F238E27FC236}">
              <a16:creationId xmlns:a16="http://schemas.microsoft.com/office/drawing/2014/main" id="{7B48BEE9-167C-4614-8607-31703743CAC3}"/>
            </a:ext>
          </a:extLst>
        </xdr:cNvPr>
        <xdr:cNvSpPr/>
      </xdr:nvSpPr>
      <xdr:spPr>
        <a:xfrm>
          <a:off x="809624" y="1343025"/>
          <a:ext cx="1343025" cy="4095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47624</xdr:colOff>
      <xdr:row>8</xdr:row>
      <xdr:rowOff>123825</xdr:rowOff>
    </xdr:from>
    <xdr:to>
      <xdr:col>3</xdr:col>
      <xdr:colOff>628650</xdr:colOff>
      <xdr:row>10</xdr:row>
      <xdr:rowOff>133350</xdr:rowOff>
    </xdr:to>
    <xdr:sp macro="" textlink="">
      <xdr:nvSpPr>
        <xdr:cNvPr id="8" name="Rectángulo 7">
          <a:extLst>
            <a:ext uri="{FF2B5EF4-FFF2-40B4-BE49-F238E27FC236}">
              <a16:creationId xmlns:a16="http://schemas.microsoft.com/office/drawing/2014/main" id="{097B8F34-F8C1-4998-A096-06D241C37DAF}"/>
            </a:ext>
          </a:extLst>
        </xdr:cNvPr>
        <xdr:cNvSpPr/>
      </xdr:nvSpPr>
      <xdr:spPr>
        <a:xfrm>
          <a:off x="809624" y="1971675"/>
          <a:ext cx="2105026" cy="409575"/>
        </a:xfrm>
        <a:prstGeom prst="rect">
          <a:avLst/>
        </a:prstGeom>
        <a:solidFill>
          <a:srgbClr val="FFFF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57150</xdr:colOff>
      <xdr:row>11</xdr:row>
      <xdr:rowOff>171450</xdr:rowOff>
    </xdr:from>
    <xdr:to>
      <xdr:col>2</xdr:col>
      <xdr:colOff>47625</xdr:colOff>
      <xdr:row>14</xdr:row>
      <xdr:rowOff>0</xdr:rowOff>
    </xdr:to>
    <xdr:sp macro="" textlink="">
      <xdr:nvSpPr>
        <xdr:cNvPr id="9" name="Rectángulo 8">
          <a:extLst>
            <a:ext uri="{FF2B5EF4-FFF2-40B4-BE49-F238E27FC236}">
              <a16:creationId xmlns:a16="http://schemas.microsoft.com/office/drawing/2014/main" id="{8E2494DD-88D7-431F-B6C4-A0EBA25F63F2}"/>
            </a:ext>
          </a:extLst>
        </xdr:cNvPr>
        <xdr:cNvSpPr/>
      </xdr:nvSpPr>
      <xdr:spPr>
        <a:xfrm>
          <a:off x="819150" y="2619375"/>
          <a:ext cx="752475" cy="409575"/>
        </a:xfrm>
        <a:prstGeom prst="rect">
          <a:avLst/>
        </a:prstGeom>
        <a:solidFill>
          <a:srgbClr val="00B0F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57150</xdr:colOff>
      <xdr:row>14</xdr:row>
      <xdr:rowOff>152400</xdr:rowOff>
    </xdr:from>
    <xdr:to>
      <xdr:col>2</xdr:col>
      <xdr:colOff>47625</xdr:colOff>
      <xdr:row>16</xdr:row>
      <xdr:rowOff>161925</xdr:rowOff>
    </xdr:to>
    <xdr:sp macro="" textlink="">
      <xdr:nvSpPr>
        <xdr:cNvPr id="10" name="Rectángulo 9">
          <a:extLst>
            <a:ext uri="{FF2B5EF4-FFF2-40B4-BE49-F238E27FC236}">
              <a16:creationId xmlns:a16="http://schemas.microsoft.com/office/drawing/2014/main" id="{2771A6ED-3559-45D1-BACA-B9A6F90FF5B5}"/>
            </a:ext>
          </a:extLst>
        </xdr:cNvPr>
        <xdr:cNvSpPr/>
      </xdr:nvSpPr>
      <xdr:spPr>
        <a:xfrm>
          <a:off x="819150" y="3181350"/>
          <a:ext cx="752475" cy="409575"/>
        </a:xfrm>
        <a:prstGeom prst="rect">
          <a:avLst/>
        </a:prstGeom>
        <a:solidFill>
          <a:srgbClr val="B686DA"/>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0</xdr:col>
      <xdr:colOff>0</xdr:colOff>
      <xdr:row>0</xdr:row>
      <xdr:rowOff>0</xdr:rowOff>
    </xdr:from>
    <xdr:to>
      <xdr:col>4</xdr:col>
      <xdr:colOff>414846</xdr:colOff>
      <xdr:row>21</xdr:row>
      <xdr:rowOff>95250</xdr:rowOff>
    </xdr:to>
    <xdr:pic>
      <xdr:nvPicPr>
        <xdr:cNvPr id="4" name="Imagen 3">
          <a:extLst>
            <a:ext uri="{FF2B5EF4-FFF2-40B4-BE49-F238E27FC236}">
              <a16:creationId xmlns:a16="http://schemas.microsoft.com/office/drawing/2014/main" id="{CD142E3B-6AC3-FBAF-9250-5915BEAA055D}"/>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BEBA8EAE-BF5A-486C-A8C5-ECC9F3942E4B}">
              <a14:imgProps xmlns:a14="http://schemas.microsoft.com/office/drawing/2010/main">
                <a14:imgLayer r:embed="rId2">
                  <a14:imgEffect>
                    <a14:sharpenSoften amount="50000"/>
                  </a14:imgEffect>
                </a14:imgLayer>
              </a14:imgProps>
            </a:ext>
          </a:extLst>
        </a:blip>
        <a:stretch>
          <a:fillRect/>
        </a:stretch>
      </xdr:blipFill>
      <xdr:spPr>
        <a:xfrm>
          <a:off x="0" y="0"/>
          <a:ext cx="3462846" cy="4514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314325</xdr:colOff>
      <xdr:row>3</xdr:row>
      <xdr:rowOff>609600</xdr:rowOff>
    </xdr:from>
    <xdr:to>
      <xdr:col>15</xdr:col>
      <xdr:colOff>495751</xdr:colOff>
      <xdr:row>9</xdr:row>
      <xdr:rowOff>19203</xdr:rowOff>
    </xdr:to>
    <xdr:pic>
      <xdr:nvPicPr>
        <xdr:cNvPr id="2" name="Imagen 1">
          <a:extLst>
            <a:ext uri="{FF2B5EF4-FFF2-40B4-BE49-F238E27FC236}">
              <a16:creationId xmlns:a16="http://schemas.microsoft.com/office/drawing/2014/main" id="{CB76B52A-9300-40A3-B11D-B2FA70283308}"/>
            </a:ext>
          </a:extLst>
        </xdr:cNvPr>
        <xdr:cNvPicPr>
          <a:picLocks noChangeAspect="1"/>
        </xdr:cNvPicPr>
      </xdr:nvPicPr>
      <xdr:blipFill>
        <a:blip xmlns:r="http://schemas.openxmlformats.org/officeDocument/2006/relationships" r:embed="rId1"/>
        <a:stretch>
          <a:fillRect/>
        </a:stretch>
      </xdr:blipFill>
      <xdr:spPr>
        <a:xfrm>
          <a:off x="11877675" y="1066800"/>
          <a:ext cx="3229426" cy="1095528"/>
        </a:xfrm>
        <a:prstGeom prst="rect">
          <a:avLst/>
        </a:prstGeom>
      </xdr:spPr>
    </xdr:pic>
    <xdr:clientData/>
  </xdr:twoCellAnchor>
  <xdr:twoCellAnchor editAs="oneCell">
    <xdr:from>
      <xdr:col>11</xdr:col>
      <xdr:colOff>352425</xdr:colOff>
      <xdr:row>10</xdr:row>
      <xdr:rowOff>114300</xdr:rowOff>
    </xdr:from>
    <xdr:to>
      <xdr:col>15</xdr:col>
      <xdr:colOff>448114</xdr:colOff>
      <xdr:row>15</xdr:row>
      <xdr:rowOff>143024</xdr:rowOff>
    </xdr:to>
    <xdr:pic>
      <xdr:nvPicPr>
        <xdr:cNvPr id="3" name="Imagen 2">
          <a:extLst>
            <a:ext uri="{FF2B5EF4-FFF2-40B4-BE49-F238E27FC236}">
              <a16:creationId xmlns:a16="http://schemas.microsoft.com/office/drawing/2014/main" id="{81E0D940-E1D9-236D-2789-1D4B5F8981B7}"/>
            </a:ext>
          </a:extLst>
        </xdr:cNvPr>
        <xdr:cNvPicPr>
          <a:picLocks noChangeAspect="1"/>
        </xdr:cNvPicPr>
      </xdr:nvPicPr>
      <xdr:blipFill>
        <a:blip xmlns:r="http://schemas.openxmlformats.org/officeDocument/2006/relationships" r:embed="rId2"/>
        <a:stretch>
          <a:fillRect/>
        </a:stretch>
      </xdr:blipFill>
      <xdr:spPr>
        <a:xfrm>
          <a:off x="11915775" y="2533650"/>
          <a:ext cx="3143689" cy="1066949"/>
        </a:xfrm>
        <a:prstGeom prst="rect">
          <a:avLst/>
        </a:prstGeom>
      </xdr:spPr>
    </xdr:pic>
    <xdr:clientData/>
  </xdr:twoCellAnchor>
  <xdr:twoCellAnchor editAs="oneCell">
    <xdr:from>
      <xdr:col>11</xdr:col>
      <xdr:colOff>361950</xdr:colOff>
      <xdr:row>17</xdr:row>
      <xdr:rowOff>104775</xdr:rowOff>
    </xdr:from>
    <xdr:to>
      <xdr:col>15</xdr:col>
      <xdr:colOff>476691</xdr:colOff>
      <xdr:row>22</xdr:row>
      <xdr:rowOff>76341</xdr:rowOff>
    </xdr:to>
    <xdr:pic>
      <xdr:nvPicPr>
        <xdr:cNvPr id="4" name="Imagen 3">
          <a:extLst>
            <a:ext uri="{FF2B5EF4-FFF2-40B4-BE49-F238E27FC236}">
              <a16:creationId xmlns:a16="http://schemas.microsoft.com/office/drawing/2014/main" id="{083F395D-CB27-EA20-3F98-309F6A2ACAA9}"/>
            </a:ext>
          </a:extLst>
        </xdr:cNvPr>
        <xdr:cNvPicPr>
          <a:picLocks noChangeAspect="1"/>
        </xdr:cNvPicPr>
      </xdr:nvPicPr>
      <xdr:blipFill>
        <a:blip xmlns:r="http://schemas.openxmlformats.org/officeDocument/2006/relationships" r:embed="rId3"/>
        <a:stretch>
          <a:fillRect/>
        </a:stretch>
      </xdr:blipFill>
      <xdr:spPr>
        <a:xfrm>
          <a:off x="11925300" y="3962400"/>
          <a:ext cx="3162741" cy="10097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563218</xdr:colOff>
      <xdr:row>4</xdr:row>
      <xdr:rowOff>853937</xdr:rowOff>
    </xdr:from>
    <xdr:to>
      <xdr:col>20</xdr:col>
      <xdr:colOff>115987</xdr:colOff>
      <xdr:row>10</xdr:row>
      <xdr:rowOff>67180</xdr:rowOff>
    </xdr:to>
    <xdr:pic>
      <xdr:nvPicPr>
        <xdr:cNvPr id="2" name="Imagen 1">
          <a:extLst>
            <a:ext uri="{FF2B5EF4-FFF2-40B4-BE49-F238E27FC236}">
              <a16:creationId xmlns:a16="http://schemas.microsoft.com/office/drawing/2014/main" id="{37C51F28-4F79-FE65-7D77-DD9448750948}"/>
            </a:ext>
          </a:extLst>
        </xdr:cNvPr>
        <xdr:cNvPicPr>
          <a:picLocks noChangeAspect="1"/>
        </xdr:cNvPicPr>
      </xdr:nvPicPr>
      <xdr:blipFill>
        <a:blip xmlns:r="http://schemas.openxmlformats.org/officeDocument/2006/relationships" r:embed="rId1"/>
        <a:stretch>
          <a:fillRect/>
        </a:stretch>
      </xdr:blipFill>
      <xdr:spPr>
        <a:xfrm>
          <a:off x="13533783" y="1557959"/>
          <a:ext cx="3180552" cy="1151860"/>
        </a:xfrm>
        <a:prstGeom prst="rect">
          <a:avLst/>
        </a:prstGeom>
      </xdr:spPr>
    </xdr:pic>
    <xdr:clientData/>
  </xdr:twoCellAnchor>
  <xdr:twoCellAnchor editAs="oneCell">
    <xdr:from>
      <xdr:col>16</xdr:col>
      <xdr:colOff>600075</xdr:colOff>
      <xdr:row>13</xdr:row>
      <xdr:rowOff>57150</xdr:rowOff>
    </xdr:from>
    <xdr:to>
      <xdr:col>20</xdr:col>
      <xdr:colOff>133791</xdr:colOff>
      <xdr:row>20</xdr:row>
      <xdr:rowOff>100389</xdr:rowOff>
    </xdr:to>
    <xdr:pic>
      <xdr:nvPicPr>
        <xdr:cNvPr id="3" name="Imagen 2">
          <a:extLst>
            <a:ext uri="{FF2B5EF4-FFF2-40B4-BE49-F238E27FC236}">
              <a16:creationId xmlns:a16="http://schemas.microsoft.com/office/drawing/2014/main" id="{37882202-4675-0D84-E6CD-992BC1E1A85E}"/>
            </a:ext>
          </a:extLst>
        </xdr:cNvPr>
        <xdr:cNvPicPr>
          <a:picLocks noChangeAspect="1"/>
        </xdr:cNvPicPr>
      </xdr:nvPicPr>
      <xdr:blipFill>
        <a:blip xmlns:r="http://schemas.openxmlformats.org/officeDocument/2006/relationships" r:embed="rId2"/>
        <a:stretch>
          <a:fillRect/>
        </a:stretch>
      </xdr:blipFill>
      <xdr:spPr>
        <a:xfrm>
          <a:off x="12658725" y="2809875"/>
          <a:ext cx="3162741" cy="1219370"/>
        </a:xfrm>
        <a:prstGeom prst="rect">
          <a:avLst/>
        </a:prstGeom>
      </xdr:spPr>
    </xdr:pic>
    <xdr:clientData/>
  </xdr:twoCellAnchor>
  <xdr:twoCellAnchor editAs="oneCell">
    <xdr:from>
      <xdr:col>16</xdr:col>
      <xdr:colOff>714375</xdr:colOff>
      <xdr:row>31</xdr:row>
      <xdr:rowOff>85725</xdr:rowOff>
    </xdr:from>
    <xdr:to>
      <xdr:col>20</xdr:col>
      <xdr:colOff>238565</xdr:colOff>
      <xdr:row>38</xdr:row>
      <xdr:rowOff>117367</xdr:rowOff>
    </xdr:to>
    <xdr:pic>
      <xdr:nvPicPr>
        <xdr:cNvPr id="4" name="Imagen 3">
          <a:extLst>
            <a:ext uri="{FF2B5EF4-FFF2-40B4-BE49-F238E27FC236}">
              <a16:creationId xmlns:a16="http://schemas.microsoft.com/office/drawing/2014/main" id="{3378168B-199C-3529-DBB7-F96A6E27FDD6}"/>
            </a:ext>
          </a:extLst>
        </xdr:cNvPr>
        <xdr:cNvPicPr>
          <a:picLocks noChangeAspect="1"/>
        </xdr:cNvPicPr>
      </xdr:nvPicPr>
      <xdr:blipFill>
        <a:blip xmlns:r="http://schemas.openxmlformats.org/officeDocument/2006/relationships" r:embed="rId3"/>
        <a:stretch>
          <a:fillRect/>
        </a:stretch>
      </xdr:blipFill>
      <xdr:spPr>
        <a:xfrm>
          <a:off x="12773025" y="5410200"/>
          <a:ext cx="3153215" cy="1209844"/>
        </a:xfrm>
        <a:prstGeom prst="rect">
          <a:avLst/>
        </a:prstGeom>
      </xdr:spPr>
    </xdr:pic>
    <xdr:clientData/>
  </xdr:twoCellAnchor>
  <xdr:twoCellAnchor editAs="oneCell">
    <xdr:from>
      <xdr:col>16</xdr:col>
      <xdr:colOff>647700</xdr:colOff>
      <xdr:row>22</xdr:row>
      <xdr:rowOff>57150</xdr:rowOff>
    </xdr:from>
    <xdr:to>
      <xdr:col>20</xdr:col>
      <xdr:colOff>190943</xdr:colOff>
      <xdr:row>29</xdr:row>
      <xdr:rowOff>71810</xdr:rowOff>
    </xdr:to>
    <xdr:pic>
      <xdr:nvPicPr>
        <xdr:cNvPr id="5" name="Imagen 4">
          <a:extLst>
            <a:ext uri="{FF2B5EF4-FFF2-40B4-BE49-F238E27FC236}">
              <a16:creationId xmlns:a16="http://schemas.microsoft.com/office/drawing/2014/main" id="{CCE53446-ADAB-ED25-A967-A40B7CA6AF16}"/>
            </a:ext>
          </a:extLst>
        </xdr:cNvPr>
        <xdr:cNvPicPr>
          <a:picLocks noChangeAspect="1"/>
        </xdr:cNvPicPr>
      </xdr:nvPicPr>
      <xdr:blipFill>
        <a:blip xmlns:r="http://schemas.openxmlformats.org/officeDocument/2006/relationships" r:embed="rId4"/>
        <a:stretch>
          <a:fillRect/>
        </a:stretch>
      </xdr:blipFill>
      <xdr:spPr>
        <a:xfrm>
          <a:off x="12706350" y="4095750"/>
          <a:ext cx="3172268" cy="1190791"/>
        </a:xfrm>
        <a:prstGeom prst="rect">
          <a:avLst/>
        </a:prstGeom>
      </xdr:spPr>
    </xdr:pic>
    <xdr:clientData/>
  </xdr:twoCellAnchor>
  <xdr:twoCellAnchor editAs="oneCell">
    <xdr:from>
      <xdr:col>16</xdr:col>
      <xdr:colOff>1000879</xdr:colOff>
      <xdr:row>40</xdr:row>
      <xdr:rowOff>115081</xdr:rowOff>
    </xdr:from>
    <xdr:to>
      <xdr:col>19</xdr:col>
      <xdr:colOff>759167</xdr:colOff>
      <xdr:row>48</xdr:row>
      <xdr:rowOff>97569</xdr:rowOff>
    </xdr:to>
    <xdr:pic>
      <xdr:nvPicPr>
        <xdr:cNvPr id="7" name="Imagen 6">
          <a:extLst>
            <a:ext uri="{FF2B5EF4-FFF2-40B4-BE49-F238E27FC236}">
              <a16:creationId xmlns:a16="http://schemas.microsoft.com/office/drawing/2014/main" id="{A963217F-00E1-A291-967C-85C187A0E2CC}"/>
            </a:ext>
          </a:extLst>
        </xdr:cNvPr>
        <xdr:cNvPicPr>
          <a:picLocks noChangeAspect="1"/>
        </xdr:cNvPicPr>
      </xdr:nvPicPr>
      <xdr:blipFill>
        <a:blip xmlns:r="http://schemas.openxmlformats.org/officeDocument/2006/relationships" r:embed="rId5"/>
        <a:stretch>
          <a:fillRect/>
        </a:stretch>
      </xdr:blipFill>
      <xdr:spPr>
        <a:xfrm>
          <a:off x="13971444" y="6658342"/>
          <a:ext cx="2624071" cy="1307705"/>
        </a:xfrm>
        <a:prstGeom prst="rect">
          <a:avLst/>
        </a:prstGeom>
      </xdr:spPr>
    </xdr:pic>
    <xdr:clientData/>
  </xdr:twoCellAnchor>
  <xdr:twoCellAnchor editAs="oneCell">
    <xdr:from>
      <xdr:col>8</xdr:col>
      <xdr:colOff>4984</xdr:colOff>
      <xdr:row>0</xdr:row>
      <xdr:rowOff>0</xdr:rowOff>
    </xdr:from>
    <xdr:to>
      <xdr:col>8</xdr:col>
      <xdr:colOff>1386338</xdr:colOff>
      <xdr:row>1</xdr:row>
      <xdr:rowOff>49023</xdr:rowOff>
    </xdr:to>
    <xdr:pic>
      <xdr:nvPicPr>
        <xdr:cNvPr id="8" name="Imagen 7">
          <a:extLst>
            <a:ext uri="{FF2B5EF4-FFF2-40B4-BE49-F238E27FC236}">
              <a16:creationId xmlns:a16="http://schemas.microsoft.com/office/drawing/2014/main" id="{ED1E3B6B-41D9-D165-4A13-3F9B6B26DA23}"/>
            </a:ext>
          </a:extLst>
        </xdr:cNvPr>
        <xdr:cNvPicPr>
          <a:picLocks noChangeAspect="1"/>
        </xdr:cNvPicPr>
      </xdr:nvPicPr>
      <xdr:blipFill>
        <a:blip xmlns:r="http://schemas.openxmlformats.org/officeDocument/2006/relationships" r:embed="rId6"/>
        <a:stretch>
          <a:fillRect/>
        </a:stretch>
      </xdr:blipFill>
      <xdr:spPr>
        <a:xfrm>
          <a:off x="5338984" y="0"/>
          <a:ext cx="1381354" cy="794458"/>
        </a:xfrm>
        <a:prstGeom prst="rect">
          <a:avLst/>
        </a:prstGeom>
      </xdr:spPr>
    </xdr:pic>
    <xdr:clientData/>
  </xdr:twoCellAnchor>
  <xdr:twoCellAnchor editAs="oneCell">
    <xdr:from>
      <xdr:col>8</xdr:col>
      <xdr:colOff>1381171</xdr:colOff>
      <xdr:row>0</xdr:row>
      <xdr:rowOff>52192</xdr:rowOff>
    </xdr:from>
    <xdr:to>
      <xdr:col>10</xdr:col>
      <xdr:colOff>454604</xdr:colOff>
      <xdr:row>1</xdr:row>
      <xdr:rowOff>22484</xdr:rowOff>
    </xdr:to>
    <xdr:pic>
      <xdr:nvPicPr>
        <xdr:cNvPr id="9" name="Imagen 8">
          <a:extLst>
            <a:ext uri="{FF2B5EF4-FFF2-40B4-BE49-F238E27FC236}">
              <a16:creationId xmlns:a16="http://schemas.microsoft.com/office/drawing/2014/main" id="{E3BEB285-37C4-4D8F-0BCC-06A46EAF9633}"/>
            </a:ext>
          </a:extLst>
        </xdr:cNvPr>
        <xdr:cNvPicPr>
          <a:picLocks noChangeAspect="1"/>
        </xdr:cNvPicPr>
      </xdr:nvPicPr>
      <xdr:blipFill>
        <a:blip xmlns:r="http://schemas.openxmlformats.org/officeDocument/2006/relationships" r:embed="rId7"/>
        <a:stretch>
          <a:fillRect/>
        </a:stretch>
      </xdr:blipFill>
      <xdr:spPr>
        <a:xfrm>
          <a:off x="6715171" y="52192"/>
          <a:ext cx="1889520" cy="7157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51403</xdr:colOff>
      <xdr:row>2</xdr:row>
      <xdr:rowOff>66676</xdr:rowOff>
    </xdr:from>
    <xdr:to>
      <xdr:col>12</xdr:col>
      <xdr:colOff>414198</xdr:colOff>
      <xdr:row>2</xdr:row>
      <xdr:rowOff>433387</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3106" y="608410"/>
          <a:ext cx="3714946" cy="366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13</xdr:col>
          <xdr:colOff>342900</xdr:colOff>
          <xdr:row>2</xdr:row>
          <xdr:rowOff>123825</xdr:rowOff>
        </xdr:from>
        <xdr:to>
          <xdr:col>16</xdr:col>
          <xdr:colOff>438150</xdr:colOff>
          <xdr:row>2</xdr:row>
          <xdr:rowOff>419100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8</xdr:col>
      <xdr:colOff>107156</xdr:colOff>
      <xdr:row>2</xdr:row>
      <xdr:rowOff>166687</xdr:rowOff>
    </xdr:from>
    <xdr:to>
      <xdr:col>13</xdr:col>
      <xdr:colOff>6983</xdr:colOff>
      <xdr:row>2</xdr:row>
      <xdr:rowOff>434578</xdr:rowOff>
    </xdr:to>
    <xdr:pic>
      <xdr:nvPicPr>
        <xdr:cNvPr id="3" name="Imagen 2">
          <a:extLst>
            <a:ext uri="{FF2B5EF4-FFF2-40B4-BE49-F238E27FC236}">
              <a16:creationId xmlns:a16="http://schemas.microsoft.com/office/drawing/2014/main" id="{C964407D-2D19-4C6A-BE4D-58EE44A1A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708421"/>
          <a:ext cx="4239656" cy="267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13</xdr:col>
          <xdr:colOff>95250</xdr:colOff>
          <xdr:row>2</xdr:row>
          <xdr:rowOff>200025</xdr:rowOff>
        </xdr:from>
        <xdr:to>
          <xdr:col>15</xdr:col>
          <xdr:colOff>657225</xdr:colOff>
          <xdr:row>2</xdr:row>
          <xdr:rowOff>428625</xdr:rowOff>
        </xdr:to>
        <xdr:sp macro="" textlink="">
          <xdr:nvSpPr>
            <xdr:cNvPr id="16386" name="Object 2" hidden="1">
              <a:extLst>
                <a:ext uri="{63B3BB69-23CF-44E3-9099-C40C66FF867C}">
                  <a14:compatExt spid="_x0000_s16386"/>
                </a:ext>
                <a:ext uri="{FF2B5EF4-FFF2-40B4-BE49-F238E27FC236}">
                  <a16:creationId xmlns:a16="http://schemas.microsoft.com/office/drawing/2014/main" id="{00000000-0008-0000-0600-000002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0</xdr:row>
      <xdr:rowOff>161924</xdr:rowOff>
    </xdr:from>
    <xdr:to>
      <xdr:col>20</xdr:col>
      <xdr:colOff>2581</xdr:colOff>
      <xdr:row>27</xdr:row>
      <xdr:rowOff>114300</xdr:rowOff>
    </xdr:to>
    <xdr:pic>
      <xdr:nvPicPr>
        <xdr:cNvPr id="2" name="Imagen 1">
          <a:extLst>
            <a:ext uri="{FF2B5EF4-FFF2-40B4-BE49-F238E27FC236}">
              <a16:creationId xmlns:a16="http://schemas.microsoft.com/office/drawing/2014/main" id="{D2136E2B-63DD-C3F5-39A2-12FCC6DE53A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008" t="38378" r="5310" b="30961"/>
        <a:stretch/>
      </xdr:blipFill>
      <xdr:spPr bwMode="auto">
        <a:xfrm>
          <a:off x="171450" y="161924"/>
          <a:ext cx="15071131" cy="5095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21</xdr:row>
      <xdr:rowOff>57150</xdr:rowOff>
    </xdr:from>
    <xdr:to>
      <xdr:col>2</xdr:col>
      <xdr:colOff>523875</xdr:colOff>
      <xdr:row>26</xdr:row>
      <xdr:rowOff>0</xdr:rowOff>
    </xdr:to>
    <xdr:sp macro="" textlink="">
      <xdr:nvSpPr>
        <xdr:cNvPr id="3" name="Rectángulo 2">
          <a:extLst>
            <a:ext uri="{FF2B5EF4-FFF2-40B4-BE49-F238E27FC236}">
              <a16:creationId xmlns:a16="http://schemas.microsoft.com/office/drawing/2014/main" id="{DF8B4444-B814-67E2-A0A4-3F7D0845F7A4}"/>
            </a:ext>
          </a:extLst>
        </xdr:cNvPr>
        <xdr:cNvSpPr/>
      </xdr:nvSpPr>
      <xdr:spPr>
        <a:xfrm>
          <a:off x="1238250" y="4057650"/>
          <a:ext cx="809625" cy="8953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xdr:col>
      <xdr:colOff>400051</xdr:colOff>
      <xdr:row>1</xdr:row>
      <xdr:rowOff>123825</xdr:rowOff>
    </xdr:from>
    <xdr:to>
      <xdr:col>5</xdr:col>
      <xdr:colOff>323851</xdr:colOff>
      <xdr:row>3</xdr:row>
      <xdr:rowOff>180975</xdr:rowOff>
    </xdr:to>
    <xdr:sp macro="" textlink="">
      <xdr:nvSpPr>
        <xdr:cNvPr id="4" name="Rectángulo 3">
          <a:extLst>
            <a:ext uri="{FF2B5EF4-FFF2-40B4-BE49-F238E27FC236}">
              <a16:creationId xmlns:a16="http://schemas.microsoft.com/office/drawing/2014/main" id="{58B10645-5D3E-4FA2-9694-B162758A4E92}"/>
            </a:ext>
          </a:extLst>
        </xdr:cNvPr>
        <xdr:cNvSpPr/>
      </xdr:nvSpPr>
      <xdr:spPr>
        <a:xfrm>
          <a:off x="3448051" y="314325"/>
          <a:ext cx="685800" cy="4381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openxmlformats.org/officeDocument/2006/relationships/image" Target="../media/image13.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 Id="rId5" Type="http://schemas.openxmlformats.org/officeDocument/2006/relationships/image" Target="../media/image15.emf"/><Relationship Id="rId4" Type="http://schemas.openxmlformats.org/officeDocument/2006/relationships/oleObject" Target="../embeddings/oleObject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B65" sqref="B65"/>
    </sheetView>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R22"/>
  <sheetViews>
    <sheetView workbookViewId="0">
      <selection activeCell="R22" sqref="R22"/>
    </sheetView>
  </sheetViews>
  <sheetFormatPr baseColWidth="10" defaultColWidth="11.42578125" defaultRowHeight="15" x14ac:dyDescent="0.25"/>
  <cols>
    <col min="6" max="6" width="14.140625" bestFit="1" customWidth="1"/>
    <col min="7" max="7" width="16.5703125" customWidth="1"/>
    <col min="8" max="8" width="14.28515625" bestFit="1" customWidth="1"/>
    <col min="9" max="9" width="9.7109375" customWidth="1"/>
    <col min="10" max="10" width="19.7109375" customWidth="1"/>
    <col min="11" max="11" width="4.7109375" customWidth="1"/>
    <col min="12" max="12" width="13.42578125" customWidth="1"/>
    <col min="13" max="13" width="24.42578125" bestFit="1" customWidth="1"/>
    <col min="14" max="14" width="11.5703125" customWidth="1"/>
    <col min="15" max="15" width="8" customWidth="1"/>
    <col min="16" max="17" width="12.85546875" customWidth="1"/>
  </cols>
  <sheetData>
    <row r="1" spans="6:18" ht="33" thickTop="1" thickBot="1" x14ac:dyDescent="0.55000000000000004">
      <c r="F1" s="97" t="s">
        <v>0</v>
      </c>
      <c r="G1" s="98"/>
      <c r="H1" s="99"/>
      <c r="I1" s="100"/>
      <c r="J1" s="39"/>
      <c r="L1" s="101" t="s">
        <v>1</v>
      </c>
      <c r="M1" s="102"/>
      <c r="N1" s="103"/>
      <c r="O1" s="37"/>
    </row>
    <row r="2" spans="6:18" ht="16.5" thickTop="1" thickBot="1" x14ac:dyDescent="0.3"/>
    <row r="3" spans="6:18" ht="19.5" customHeight="1" thickTop="1" x14ac:dyDescent="0.3">
      <c r="F3" s="32" t="s">
        <v>2</v>
      </c>
      <c r="G3" s="32" t="s">
        <v>3</v>
      </c>
      <c r="H3" s="32" t="s">
        <v>4</v>
      </c>
      <c r="I3" s="32" t="s">
        <v>5</v>
      </c>
      <c r="J3" s="7" t="s">
        <v>6</v>
      </c>
      <c r="L3" s="32" t="s">
        <v>2</v>
      </c>
      <c r="M3" s="32" t="s">
        <v>3</v>
      </c>
      <c r="N3" s="32" t="s">
        <v>7</v>
      </c>
      <c r="P3" s="109" t="s">
        <v>8</v>
      </c>
      <c r="Q3" s="110"/>
      <c r="R3" s="111"/>
    </row>
    <row r="4" spans="6:18" ht="15.75" customHeight="1" thickBot="1" x14ac:dyDescent="0.3">
      <c r="F4" s="35" t="s">
        <v>9</v>
      </c>
      <c r="G4" s="33" t="s">
        <v>10</v>
      </c>
      <c r="H4" s="34" t="s">
        <v>11</v>
      </c>
      <c r="I4" s="36">
        <v>1510</v>
      </c>
      <c r="J4" s="40" t="s">
        <v>12</v>
      </c>
      <c r="L4" s="35" t="s">
        <v>13</v>
      </c>
      <c r="M4" s="33" t="s">
        <v>14</v>
      </c>
      <c r="N4" s="38">
        <v>6.5</v>
      </c>
      <c r="P4" s="112"/>
      <c r="Q4" s="113"/>
      <c r="R4" s="114"/>
    </row>
    <row r="5" spans="6:18" ht="15.75" thickTop="1" x14ac:dyDescent="0.25">
      <c r="F5" s="35" t="s">
        <v>9</v>
      </c>
      <c r="G5" s="33" t="s">
        <v>15</v>
      </c>
      <c r="H5" s="34" t="s">
        <v>11</v>
      </c>
      <c r="I5" s="36">
        <v>1540</v>
      </c>
      <c r="J5" s="40" t="s">
        <v>12</v>
      </c>
      <c r="L5" s="35" t="s">
        <v>13</v>
      </c>
      <c r="M5" s="33" t="s">
        <v>16</v>
      </c>
      <c r="N5" s="38">
        <v>8.6999999999999993</v>
      </c>
    </row>
    <row r="6" spans="6:18" x14ac:dyDescent="0.25">
      <c r="F6" s="35" t="s">
        <v>9</v>
      </c>
      <c r="G6" s="33" t="s">
        <v>17</v>
      </c>
      <c r="H6" s="34" t="s">
        <v>11</v>
      </c>
      <c r="I6" s="36">
        <v>1640</v>
      </c>
      <c r="J6" s="40" t="s">
        <v>12</v>
      </c>
      <c r="L6" s="35" t="s">
        <v>13</v>
      </c>
      <c r="M6" s="33" t="s">
        <v>18</v>
      </c>
      <c r="N6" s="38">
        <v>7.6</v>
      </c>
      <c r="P6" s="115" t="s">
        <v>19</v>
      </c>
      <c r="Q6" s="115"/>
      <c r="R6" s="105">
        <f>COUNT(N4:N18)</f>
        <v>15</v>
      </c>
    </row>
    <row r="7" spans="6:18" x14ac:dyDescent="0.25">
      <c r="F7" s="35" t="s">
        <v>9</v>
      </c>
      <c r="G7" s="33" t="s">
        <v>20</v>
      </c>
      <c r="H7" s="34" t="s">
        <v>11</v>
      </c>
      <c r="I7" s="36">
        <v>1720</v>
      </c>
      <c r="J7" s="40" t="s">
        <v>12</v>
      </c>
      <c r="L7" s="35" t="s">
        <v>13</v>
      </c>
      <c r="M7" s="33" t="s">
        <v>21</v>
      </c>
      <c r="N7" s="38">
        <v>7.4</v>
      </c>
      <c r="P7" s="115"/>
      <c r="Q7" s="115"/>
      <c r="R7" s="105"/>
    </row>
    <row r="8" spans="6:18" x14ac:dyDescent="0.25">
      <c r="F8" s="35" t="s">
        <v>9</v>
      </c>
      <c r="G8" s="33" t="s">
        <v>22</v>
      </c>
      <c r="H8" s="34" t="s">
        <v>11</v>
      </c>
      <c r="I8" s="36">
        <v>1730</v>
      </c>
      <c r="J8" s="40" t="s">
        <v>12</v>
      </c>
      <c r="L8" s="35" t="s">
        <v>13</v>
      </c>
      <c r="M8" s="33" t="s">
        <v>23</v>
      </c>
      <c r="N8" s="38">
        <v>7.6</v>
      </c>
    </row>
    <row r="9" spans="6:18" ht="15.75" thickBot="1" x14ac:dyDescent="0.3">
      <c r="F9" s="35" t="s">
        <v>9</v>
      </c>
      <c r="G9" s="33" t="s">
        <v>24</v>
      </c>
      <c r="H9" s="34" t="s">
        <v>25</v>
      </c>
      <c r="I9" s="36">
        <v>2400</v>
      </c>
      <c r="J9" s="40" t="s">
        <v>12</v>
      </c>
      <c r="L9" s="35" t="s">
        <v>13</v>
      </c>
      <c r="M9" s="33" t="s">
        <v>26</v>
      </c>
      <c r="N9" s="38">
        <v>6.8</v>
      </c>
    </row>
    <row r="10" spans="6:18" ht="15.75" customHeight="1" thickTop="1" x14ac:dyDescent="0.25">
      <c r="F10" s="35" t="s">
        <v>9</v>
      </c>
      <c r="G10" s="33" t="s">
        <v>27</v>
      </c>
      <c r="H10" s="34" t="s">
        <v>25</v>
      </c>
      <c r="I10" s="36">
        <v>2420</v>
      </c>
      <c r="J10" s="40" t="s">
        <v>12</v>
      </c>
      <c r="L10" s="35" t="s">
        <v>13</v>
      </c>
      <c r="M10" s="33" t="s">
        <v>28</v>
      </c>
      <c r="N10" s="38">
        <v>8</v>
      </c>
      <c r="P10" s="109" t="s">
        <v>29</v>
      </c>
      <c r="Q10" s="110"/>
      <c r="R10" s="111"/>
    </row>
    <row r="11" spans="6:18" ht="15.75" customHeight="1" thickBot="1" x14ac:dyDescent="0.3">
      <c r="F11" s="35" t="s">
        <v>9</v>
      </c>
      <c r="G11" s="33" t="s">
        <v>30</v>
      </c>
      <c r="H11" s="34" t="s">
        <v>25</v>
      </c>
      <c r="I11" s="36">
        <v>2440</v>
      </c>
      <c r="J11" s="40" t="s">
        <v>12</v>
      </c>
      <c r="L11" s="35" t="s">
        <v>13</v>
      </c>
      <c r="M11" s="33" t="s">
        <v>31</v>
      </c>
      <c r="N11" s="38">
        <v>9</v>
      </c>
      <c r="P11" s="112"/>
      <c r="Q11" s="113"/>
      <c r="R11" s="114"/>
    </row>
    <row r="12" spans="6:18" ht="15.75" thickTop="1" x14ac:dyDescent="0.25">
      <c r="F12" s="35" t="s">
        <v>9</v>
      </c>
      <c r="G12" s="33" t="s">
        <v>32</v>
      </c>
      <c r="H12" s="34" t="s">
        <v>33</v>
      </c>
      <c r="I12" s="36">
        <v>2640</v>
      </c>
      <c r="J12" s="40" t="s">
        <v>12</v>
      </c>
      <c r="L12" s="35" t="s">
        <v>13</v>
      </c>
      <c r="M12" s="33" t="s">
        <v>34</v>
      </c>
      <c r="N12" s="38">
        <v>8.1999999999999993</v>
      </c>
    </row>
    <row r="13" spans="6:18" x14ac:dyDescent="0.25">
      <c r="F13" s="35" t="s">
        <v>9</v>
      </c>
      <c r="G13" s="33" t="s">
        <v>35</v>
      </c>
      <c r="H13" s="34" t="s">
        <v>33</v>
      </c>
      <c r="I13" s="36">
        <v>2670</v>
      </c>
      <c r="J13" s="40" t="s">
        <v>12</v>
      </c>
      <c r="L13" s="35" t="s">
        <v>13</v>
      </c>
      <c r="M13" s="33" t="s">
        <v>36</v>
      </c>
      <c r="N13" s="38">
        <v>9.1999999999999993</v>
      </c>
      <c r="P13" s="116" t="s">
        <v>37</v>
      </c>
      <c r="Q13" s="116"/>
      <c r="R13" s="104">
        <f>MAX(N4:N18)</f>
        <v>9.4</v>
      </c>
    </row>
    <row r="14" spans="6:18" x14ac:dyDescent="0.25">
      <c r="F14" s="33" t="s">
        <v>9</v>
      </c>
      <c r="G14" s="33" t="s">
        <v>38</v>
      </c>
      <c r="H14" s="34" t="s">
        <v>33</v>
      </c>
      <c r="I14" s="36">
        <v>2720</v>
      </c>
      <c r="J14" s="40" t="s">
        <v>12</v>
      </c>
      <c r="L14" s="35" t="s">
        <v>13</v>
      </c>
      <c r="M14" s="33" t="s">
        <v>39</v>
      </c>
      <c r="N14" s="38">
        <v>8.3000000000000007</v>
      </c>
      <c r="P14" s="116"/>
      <c r="Q14" s="116"/>
      <c r="R14" s="105"/>
    </row>
    <row r="15" spans="6:18" ht="15.75" x14ac:dyDescent="0.25">
      <c r="F15" s="106" t="s">
        <v>40</v>
      </c>
      <c r="G15" s="107"/>
      <c r="H15" s="108"/>
      <c r="I15" s="41">
        <f>SUM(I4:I14)</f>
        <v>23430</v>
      </c>
      <c r="J15" s="15"/>
      <c r="L15" s="35" t="s">
        <v>13</v>
      </c>
      <c r="M15" s="33" t="s">
        <v>41</v>
      </c>
      <c r="N15" s="38">
        <v>9.4</v>
      </c>
    </row>
    <row r="16" spans="6:18" ht="15.75" thickBot="1" x14ac:dyDescent="0.3">
      <c r="L16" s="35" t="s">
        <v>13</v>
      </c>
      <c r="M16" s="33" t="s">
        <v>42</v>
      </c>
      <c r="N16" s="38">
        <v>6</v>
      </c>
    </row>
    <row r="17" spans="12:18" ht="15.75" customHeight="1" thickTop="1" x14ac:dyDescent="0.25">
      <c r="L17" s="35" t="s">
        <v>13</v>
      </c>
      <c r="M17" s="33" t="s">
        <v>43</v>
      </c>
      <c r="N17" s="38">
        <v>7.8</v>
      </c>
      <c r="P17" s="109" t="s">
        <v>44</v>
      </c>
      <c r="Q17" s="110"/>
      <c r="R17" s="111"/>
    </row>
    <row r="18" spans="12:18" ht="15.75" customHeight="1" thickBot="1" x14ac:dyDescent="0.3">
      <c r="L18" s="35" t="s">
        <v>13</v>
      </c>
      <c r="M18" s="33" t="s">
        <v>45</v>
      </c>
      <c r="N18" s="38">
        <v>7.5</v>
      </c>
      <c r="P18" s="112"/>
      <c r="Q18" s="113"/>
      <c r="R18" s="114"/>
    </row>
    <row r="19" spans="12:18" ht="16.5" thickTop="1" x14ac:dyDescent="0.25">
      <c r="L19" s="118" t="s">
        <v>46</v>
      </c>
      <c r="M19" s="118"/>
      <c r="N19" s="42">
        <f>AVERAGE(N4:N18)</f>
        <v>7.8666666666666663</v>
      </c>
    </row>
    <row r="20" spans="12:18" x14ac:dyDescent="0.25">
      <c r="P20" s="117" t="s">
        <v>47</v>
      </c>
      <c r="Q20" s="117"/>
      <c r="R20" s="104">
        <f>MIN(N4:N18)</f>
        <v>6</v>
      </c>
    </row>
    <row r="21" spans="12:18" x14ac:dyDescent="0.25">
      <c r="P21" s="117"/>
      <c r="Q21" s="117"/>
      <c r="R21" s="105"/>
    </row>
    <row r="22" spans="12:18" ht="31.5" x14ac:dyDescent="0.5">
      <c r="N22" s="37"/>
    </row>
  </sheetData>
  <sortState ref="F4:I14">
    <sortCondition ref="F7:F14"/>
  </sortState>
  <mergeCells count="13">
    <mergeCell ref="F1:I1"/>
    <mergeCell ref="L1:N1"/>
    <mergeCell ref="R13:R14"/>
    <mergeCell ref="R20:R21"/>
    <mergeCell ref="F15:H15"/>
    <mergeCell ref="P3:R4"/>
    <mergeCell ref="P10:R11"/>
    <mergeCell ref="P17:R18"/>
    <mergeCell ref="P6:Q7"/>
    <mergeCell ref="P13:Q14"/>
    <mergeCell ref="P20:Q21"/>
    <mergeCell ref="R6:R7"/>
    <mergeCell ref="L19:M19"/>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6"/>
  <sheetViews>
    <sheetView showGridLines="0" topLeftCell="A5" zoomScaleNormal="100" workbookViewId="0">
      <selection activeCell="N34" sqref="N34"/>
    </sheetView>
  </sheetViews>
  <sheetFormatPr baseColWidth="10" defaultColWidth="11.42578125" defaultRowHeight="15" x14ac:dyDescent="0.25"/>
  <cols>
    <col min="2" max="2" width="14.140625" bestFit="1" customWidth="1"/>
    <col min="3" max="3" width="22.85546875" bestFit="1" customWidth="1"/>
    <col min="4" max="4" width="20.140625" customWidth="1"/>
    <col min="5" max="5" width="13.42578125" bestFit="1" customWidth="1"/>
    <col min="6" max="6" width="10.7109375" customWidth="1"/>
    <col min="7" max="7" width="19.7109375" bestFit="1" customWidth="1"/>
    <col min="8" max="8" width="19.7109375" customWidth="1"/>
    <col min="9" max="9" width="21" bestFit="1" customWidth="1"/>
    <col min="10" max="10" width="7.140625" customWidth="1"/>
    <col min="11" max="11" width="14.140625" bestFit="1" customWidth="1"/>
  </cols>
  <sheetData>
    <row r="2" spans="2:17" ht="23.25" x14ac:dyDescent="0.35">
      <c r="F2" s="17"/>
      <c r="K2" s="71" t="s">
        <v>48</v>
      </c>
      <c r="L2" s="47">
        <v>0.18</v>
      </c>
      <c r="M2" s="120" t="s">
        <v>49</v>
      </c>
      <c r="N2" s="121"/>
      <c r="O2" s="121"/>
      <c r="P2" s="121"/>
    </row>
    <row r="3" spans="2:17" s="43" customFormat="1" ht="57" customHeight="1" x14ac:dyDescent="0.25">
      <c r="B3" s="122" t="s">
        <v>50</v>
      </c>
      <c r="C3" s="123"/>
      <c r="D3" s="123"/>
      <c r="E3" s="123"/>
      <c r="F3" s="124"/>
      <c r="G3" s="67" t="s">
        <v>51</v>
      </c>
      <c r="H3" s="68" t="s">
        <v>51</v>
      </c>
      <c r="I3" s="69" t="s">
        <v>52</v>
      </c>
      <c r="J3"/>
      <c r="K3" s="46"/>
      <c r="L3" s="46"/>
      <c r="M3" s="70"/>
      <c r="N3" s="70"/>
      <c r="O3" s="70"/>
      <c r="P3" s="70"/>
      <c r="Q3" s="52"/>
    </row>
    <row r="4" spans="2:17" ht="26.25" x14ac:dyDescent="0.25">
      <c r="B4" s="6" t="s">
        <v>2</v>
      </c>
      <c r="C4" s="6" t="s">
        <v>3</v>
      </c>
      <c r="D4" s="7" t="s">
        <v>6</v>
      </c>
      <c r="E4" s="6" t="s">
        <v>53</v>
      </c>
      <c r="F4" s="6" t="s">
        <v>7</v>
      </c>
      <c r="G4" s="6" t="s">
        <v>54</v>
      </c>
      <c r="H4" s="6" t="s">
        <v>48</v>
      </c>
      <c r="I4" s="6" t="s">
        <v>55</v>
      </c>
      <c r="J4" s="43"/>
      <c r="K4" s="43"/>
      <c r="L4" s="43"/>
      <c r="M4" s="43"/>
      <c r="N4" s="51"/>
      <c r="O4" s="52"/>
      <c r="P4" s="52"/>
    </row>
    <row r="5" spans="2:17" ht="18.75" customHeight="1" x14ac:dyDescent="0.25">
      <c r="B5" s="8" t="s">
        <v>56</v>
      </c>
      <c r="C5" s="8" t="s">
        <v>57</v>
      </c>
      <c r="D5" s="25" t="s">
        <v>58</v>
      </c>
      <c r="E5" s="48">
        <v>86</v>
      </c>
      <c r="F5" s="50">
        <v>48</v>
      </c>
      <c r="G5" s="27">
        <f>PRODUCT(E5:F5)</f>
        <v>4128</v>
      </c>
      <c r="H5" s="27">
        <f>PRODUCT(G5,$L$2)</f>
        <v>743.04</v>
      </c>
      <c r="I5" s="27">
        <f>SUM(G2:H5)</f>
        <v>4871.04</v>
      </c>
      <c r="K5" s="119" t="s">
        <v>54</v>
      </c>
    </row>
    <row r="6" spans="2:17" ht="15.75" x14ac:dyDescent="0.25">
      <c r="B6" s="8" t="s">
        <v>56</v>
      </c>
      <c r="C6" s="8" t="s">
        <v>59</v>
      </c>
      <c r="D6" s="25" t="s">
        <v>58</v>
      </c>
      <c r="E6" s="48">
        <v>15</v>
      </c>
      <c r="F6" s="50">
        <v>53</v>
      </c>
      <c r="G6" s="27">
        <f t="shared" ref="G6:G69" si="0">PRODUCT(E6:F6)</f>
        <v>795</v>
      </c>
      <c r="H6" s="27">
        <f t="shared" ref="H6:H69" si="1">PRODUCT(G6,$L$2)</f>
        <v>143.1</v>
      </c>
      <c r="I6" s="152">
        <f>SUM(G6:H6)</f>
        <v>938.1</v>
      </c>
      <c r="J6" s="24"/>
      <c r="K6" s="119"/>
    </row>
    <row r="7" spans="2:17" ht="15.75" x14ac:dyDescent="0.25">
      <c r="B7" s="9" t="s">
        <v>60</v>
      </c>
      <c r="C7" s="9" t="s">
        <v>61</v>
      </c>
      <c r="D7" s="26" t="s">
        <v>12</v>
      </c>
      <c r="E7" s="49">
        <v>88</v>
      </c>
      <c r="F7" s="50">
        <v>8.1</v>
      </c>
      <c r="G7" s="27">
        <f t="shared" si="0"/>
        <v>712.8</v>
      </c>
      <c r="H7" s="27">
        <f t="shared" si="1"/>
        <v>128.30399999999997</v>
      </c>
      <c r="I7" s="152">
        <f t="shared" ref="I7:I70" si="2">SUM(G7:H7)</f>
        <v>841.10399999999993</v>
      </c>
      <c r="K7" s="119"/>
    </row>
    <row r="8" spans="2:17" ht="15.75" x14ac:dyDescent="0.25">
      <c r="B8" s="9" t="s">
        <v>13</v>
      </c>
      <c r="C8" s="9" t="s">
        <v>23</v>
      </c>
      <c r="D8" s="26" t="s">
        <v>62</v>
      </c>
      <c r="E8" s="49">
        <v>74</v>
      </c>
      <c r="F8" s="50">
        <v>7.6</v>
      </c>
      <c r="G8" s="27">
        <f t="shared" si="0"/>
        <v>562.4</v>
      </c>
      <c r="H8" s="27">
        <f t="shared" si="1"/>
        <v>101.23199999999999</v>
      </c>
      <c r="I8" s="152">
        <f t="shared" si="2"/>
        <v>663.63199999999995</v>
      </c>
    </row>
    <row r="9" spans="2:17" ht="15.75" x14ac:dyDescent="0.25">
      <c r="B9" s="8" t="s">
        <v>56</v>
      </c>
      <c r="C9" s="8" t="s">
        <v>63</v>
      </c>
      <c r="D9" s="25" t="s">
        <v>64</v>
      </c>
      <c r="E9" s="48">
        <v>75</v>
      </c>
      <c r="F9" s="50">
        <v>16</v>
      </c>
      <c r="G9" s="27">
        <f t="shared" si="0"/>
        <v>1200</v>
      </c>
      <c r="H9" s="27">
        <f t="shared" si="1"/>
        <v>216</v>
      </c>
      <c r="I9" s="152">
        <f t="shared" si="2"/>
        <v>1416</v>
      </c>
    </row>
    <row r="10" spans="2:17" ht="15.75" x14ac:dyDescent="0.25">
      <c r="B10" s="8" t="s">
        <v>56</v>
      </c>
      <c r="C10" s="8" t="s">
        <v>65</v>
      </c>
      <c r="D10" s="25" t="s">
        <v>64</v>
      </c>
      <c r="E10" s="48">
        <v>38</v>
      </c>
      <c r="F10" s="50">
        <v>16.5</v>
      </c>
      <c r="G10" s="27">
        <f t="shared" si="0"/>
        <v>627</v>
      </c>
      <c r="H10" s="27">
        <f t="shared" si="1"/>
        <v>112.86</v>
      </c>
      <c r="I10" s="152">
        <f t="shared" si="2"/>
        <v>739.86</v>
      </c>
    </row>
    <row r="11" spans="2:17" ht="15.75" x14ac:dyDescent="0.25">
      <c r="B11" s="8" t="s">
        <v>66</v>
      </c>
      <c r="C11" s="8" t="s">
        <v>67</v>
      </c>
      <c r="D11" s="25" t="s">
        <v>68</v>
      </c>
      <c r="E11" s="48">
        <v>62</v>
      </c>
      <c r="F11" s="50">
        <v>15.96</v>
      </c>
      <c r="G11" s="27">
        <f t="shared" si="0"/>
        <v>989.5200000000001</v>
      </c>
      <c r="H11" s="27">
        <f t="shared" si="1"/>
        <v>178.11360000000002</v>
      </c>
      <c r="I11" s="152">
        <f t="shared" si="2"/>
        <v>1167.6336000000001</v>
      </c>
    </row>
    <row r="12" spans="2:17" ht="15.75" x14ac:dyDescent="0.25">
      <c r="B12" s="8" t="s">
        <v>66</v>
      </c>
      <c r="C12" s="8" t="s">
        <v>69</v>
      </c>
      <c r="D12" s="25" t="s">
        <v>64</v>
      </c>
      <c r="E12" s="48">
        <v>81</v>
      </c>
      <c r="F12" s="50">
        <v>7.5</v>
      </c>
      <c r="G12" s="27">
        <f t="shared" si="0"/>
        <v>607.5</v>
      </c>
      <c r="H12" s="27">
        <f t="shared" si="1"/>
        <v>109.35</v>
      </c>
      <c r="I12" s="152">
        <f t="shared" si="2"/>
        <v>716.85</v>
      </c>
      <c r="K12" s="119" t="s">
        <v>70</v>
      </c>
    </row>
    <row r="13" spans="2:17" ht="15.75" x14ac:dyDescent="0.25">
      <c r="B13" s="8" t="s">
        <v>56</v>
      </c>
      <c r="C13" s="8" t="s">
        <v>71</v>
      </c>
      <c r="D13" s="25" t="s">
        <v>64</v>
      </c>
      <c r="E13" s="48">
        <v>24</v>
      </c>
      <c r="F13" s="50">
        <v>21</v>
      </c>
      <c r="G13" s="27">
        <f t="shared" si="0"/>
        <v>504</v>
      </c>
      <c r="H13" s="27">
        <f t="shared" si="1"/>
        <v>90.72</v>
      </c>
      <c r="I13" s="152">
        <f t="shared" si="2"/>
        <v>594.72</v>
      </c>
      <c r="K13" s="119"/>
    </row>
    <row r="14" spans="2:17" ht="15.75" x14ac:dyDescent="0.25">
      <c r="B14" s="9" t="s">
        <v>9</v>
      </c>
      <c r="C14" s="9" t="s">
        <v>32</v>
      </c>
      <c r="D14" s="26" t="s">
        <v>12</v>
      </c>
      <c r="E14" s="49">
        <v>23</v>
      </c>
      <c r="F14" s="50">
        <v>8</v>
      </c>
      <c r="G14" s="27">
        <f t="shared" si="0"/>
        <v>184</v>
      </c>
      <c r="H14" s="27">
        <f t="shared" si="1"/>
        <v>33.119999999999997</v>
      </c>
      <c r="I14" s="152">
        <f t="shared" si="2"/>
        <v>217.12</v>
      </c>
      <c r="K14" s="119"/>
    </row>
    <row r="15" spans="2:17" ht="15.75" x14ac:dyDescent="0.25">
      <c r="B15" s="9" t="s">
        <v>13</v>
      </c>
      <c r="C15" s="9" t="s">
        <v>34</v>
      </c>
      <c r="D15" s="26" t="s">
        <v>62</v>
      </c>
      <c r="E15" s="49">
        <v>18</v>
      </c>
      <c r="F15" s="50">
        <v>8.1999999999999993</v>
      </c>
      <c r="G15" s="27">
        <f t="shared" si="0"/>
        <v>147.6</v>
      </c>
      <c r="H15" s="27">
        <f t="shared" si="1"/>
        <v>26.567999999999998</v>
      </c>
      <c r="I15" s="152">
        <f t="shared" si="2"/>
        <v>174.16800000000001</v>
      </c>
    </row>
    <row r="16" spans="2:17" ht="15.75" x14ac:dyDescent="0.25">
      <c r="B16" s="9" t="s">
        <v>60</v>
      </c>
      <c r="C16" s="9" t="s">
        <v>72</v>
      </c>
      <c r="D16" s="26" t="s">
        <v>12</v>
      </c>
      <c r="E16" s="49">
        <v>78</v>
      </c>
      <c r="F16" s="50">
        <v>9.5</v>
      </c>
      <c r="G16" s="27">
        <f t="shared" si="0"/>
        <v>741</v>
      </c>
      <c r="H16" s="27">
        <f t="shared" si="1"/>
        <v>133.38</v>
      </c>
      <c r="I16" s="152">
        <f t="shared" si="2"/>
        <v>874.38</v>
      </c>
    </row>
    <row r="17" spans="2:11" ht="15.75" x14ac:dyDescent="0.25">
      <c r="B17" s="9" t="s">
        <v>9</v>
      </c>
      <c r="C17" s="9" t="s">
        <v>35</v>
      </c>
      <c r="D17" s="26" t="s">
        <v>12</v>
      </c>
      <c r="E17" s="49">
        <v>94</v>
      </c>
      <c r="F17" s="50">
        <v>4.5</v>
      </c>
      <c r="G17" s="27">
        <f t="shared" si="0"/>
        <v>423</v>
      </c>
      <c r="H17" s="27">
        <f t="shared" si="1"/>
        <v>76.14</v>
      </c>
      <c r="I17" s="152">
        <f t="shared" si="2"/>
        <v>499.14</v>
      </c>
    </row>
    <row r="18" spans="2:11" ht="15.75" x14ac:dyDescent="0.25">
      <c r="B18" s="8" t="s">
        <v>66</v>
      </c>
      <c r="C18" s="8" t="s">
        <v>73</v>
      </c>
      <c r="D18" s="25" t="s">
        <v>68</v>
      </c>
      <c r="E18" s="48">
        <v>25</v>
      </c>
      <c r="F18" s="50">
        <v>16.12</v>
      </c>
      <c r="G18" s="27">
        <f t="shared" si="0"/>
        <v>403</v>
      </c>
      <c r="H18" s="27">
        <f t="shared" si="1"/>
        <v>72.539999999999992</v>
      </c>
      <c r="I18" s="152">
        <f t="shared" si="2"/>
        <v>475.53999999999996</v>
      </c>
    </row>
    <row r="19" spans="2:11" ht="15.75" x14ac:dyDescent="0.25">
      <c r="B19" s="9" t="s">
        <v>60</v>
      </c>
      <c r="C19" s="9" t="s">
        <v>74</v>
      </c>
      <c r="D19" s="26" t="s">
        <v>12</v>
      </c>
      <c r="E19" s="49">
        <v>88</v>
      </c>
      <c r="F19" s="50">
        <v>9.3000000000000007</v>
      </c>
      <c r="G19" s="27">
        <f t="shared" si="0"/>
        <v>818.40000000000009</v>
      </c>
      <c r="H19" s="27">
        <f t="shared" si="1"/>
        <v>147.31200000000001</v>
      </c>
      <c r="I19" s="152">
        <f t="shared" si="2"/>
        <v>965.7120000000001</v>
      </c>
      <c r="K19" s="119" t="s">
        <v>55</v>
      </c>
    </row>
    <row r="20" spans="2:11" ht="15.75" x14ac:dyDescent="0.25">
      <c r="B20" s="9" t="s">
        <v>60</v>
      </c>
      <c r="C20" s="9" t="s">
        <v>75</v>
      </c>
      <c r="D20" s="26" t="s">
        <v>76</v>
      </c>
      <c r="E20" s="49">
        <v>17</v>
      </c>
      <c r="F20" s="50">
        <v>7.8</v>
      </c>
      <c r="G20" s="27">
        <f t="shared" si="0"/>
        <v>132.6</v>
      </c>
      <c r="H20" s="27">
        <f t="shared" si="1"/>
        <v>23.867999999999999</v>
      </c>
      <c r="I20" s="152">
        <f t="shared" si="2"/>
        <v>156.46799999999999</v>
      </c>
      <c r="K20" s="119"/>
    </row>
    <row r="21" spans="2:11" ht="15.75" x14ac:dyDescent="0.25">
      <c r="B21" s="9" t="s">
        <v>60</v>
      </c>
      <c r="C21" s="9" t="s">
        <v>77</v>
      </c>
      <c r="D21" s="26" t="s">
        <v>76</v>
      </c>
      <c r="E21" s="49">
        <v>48</v>
      </c>
      <c r="F21" s="50">
        <v>8.9</v>
      </c>
      <c r="G21" s="27">
        <f t="shared" si="0"/>
        <v>427.20000000000005</v>
      </c>
      <c r="H21" s="27">
        <f t="shared" si="1"/>
        <v>76.896000000000001</v>
      </c>
      <c r="I21" s="152">
        <f t="shared" si="2"/>
        <v>504.09600000000006</v>
      </c>
      <c r="K21" s="119"/>
    </row>
    <row r="22" spans="2:11" ht="15.75" x14ac:dyDescent="0.25">
      <c r="B22" s="9" t="s">
        <v>60</v>
      </c>
      <c r="C22" s="9" t="s">
        <v>78</v>
      </c>
      <c r="D22" s="26" t="s">
        <v>76</v>
      </c>
      <c r="E22" s="49">
        <v>22</v>
      </c>
      <c r="F22" s="50">
        <v>8.5</v>
      </c>
      <c r="G22" s="27">
        <f t="shared" si="0"/>
        <v>187</v>
      </c>
      <c r="H22" s="27">
        <f t="shared" si="1"/>
        <v>33.659999999999997</v>
      </c>
      <c r="I22" s="152">
        <f t="shared" si="2"/>
        <v>220.66</v>
      </c>
    </row>
    <row r="23" spans="2:11" ht="15.75" x14ac:dyDescent="0.25">
      <c r="B23" s="9" t="s">
        <v>60</v>
      </c>
      <c r="C23" s="9" t="s">
        <v>79</v>
      </c>
      <c r="D23" s="26" t="s">
        <v>76</v>
      </c>
      <c r="E23" s="49">
        <v>75</v>
      </c>
      <c r="F23" s="50">
        <v>6.8</v>
      </c>
      <c r="G23" s="27">
        <f t="shared" si="0"/>
        <v>510</v>
      </c>
      <c r="H23" s="27">
        <f t="shared" si="1"/>
        <v>91.8</v>
      </c>
      <c r="I23" s="152">
        <f t="shared" si="2"/>
        <v>601.79999999999995</v>
      </c>
    </row>
    <row r="24" spans="2:11" ht="15.75" x14ac:dyDescent="0.25">
      <c r="B24" s="8" t="s">
        <v>56</v>
      </c>
      <c r="C24" s="8" t="s">
        <v>80</v>
      </c>
      <c r="D24" s="25" t="s">
        <v>58</v>
      </c>
      <c r="E24" s="48">
        <v>50</v>
      </c>
      <c r="F24" s="50">
        <v>58</v>
      </c>
      <c r="G24" s="27">
        <f t="shared" si="0"/>
        <v>2900</v>
      </c>
      <c r="H24" s="27">
        <f t="shared" si="1"/>
        <v>522</v>
      </c>
      <c r="I24" s="152">
        <f t="shared" si="2"/>
        <v>3422</v>
      </c>
    </row>
    <row r="25" spans="2:11" ht="15.75" x14ac:dyDescent="0.25">
      <c r="B25" s="8" t="s">
        <v>56</v>
      </c>
      <c r="C25" s="8" t="s">
        <v>59</v>
      </c>
      <c r="D25" s="25" t="s">
        <v>58</v>
      </c>
      <c r="E25" s="48">
        <v>88</v>
      </c>
      <c r="F25" s="50">
        <v>53</v>
      </c>
      <c r="G25" s="27">
        <f t="shared" si="0"/>
        <v>4664</v>
      </c>
      <c r="H25" s="27">
        <f t="shared" si="1"/>
        <v>839.52</v>
      </c>
      <c r="I25" s="152">
        <f t="shared" si="2"/>
        <v>5503.52</v>
      </c>
    </row>
    <row r="26" spans="2:11" ht="15.75" x14ac:dyDescent="0.25">
      <c r="B26" s="9" t="s">
        <v>13</v>
      </c>
      <c r="C26" s="9" t="s">
        <v>42</v>
      </c>
      <c r="D26" s="26" t="s">
        <v>62</v>
      </c>
      <c r="E26" s="49">
        <v>11</v>
      </c>
      <c r="F26" s="50">
        <v>6</v>
      </c>
      <c r="G26" s="27">
        <f t="shared" si="0"/>
        <v>66</v>
      </c>
      <c r="H26" s="27">
        <f t="shared" si="1"/>
        <v>11.879999999999999</v>
      </c>
      <c r="I26" s="152">
        <f t="shared" si="2"/>
        <v>77.88</v>
      </c>
    </row>
    <row r="27" spans="2:11" ht="15.75" x14ac:dyDescent="0.25">
      <c r="B27" s="8" t="s">
        <v>66</v>
      </c>
      <c r="C27" s="8" t="s">
        <v>81</v>
      </c>
      <c r="D27" s="25" t="s">
        <v>62</v>
      </c>
      <c r="E27" s="48">
        <v>71</v>
      </c>
      <c r="F27" s="50">
        <v>4.5</v>
      </c>
      <c r="G27" s="27">
        <f t="shared" si="0"/>
        <v>319.5</v>
      </c>
      <c r="H27" s="27">
        <f t="shared" si="1"/>
        <v>57.51</v>
      </c>
      <c r="I27" s="152">
        <f t="shared" si="2"/>
        <v>377.01</v>
      </c>
    </row>
    <row r="28" spans="2:11" ht="15.75" x14ac:dyDescent="0.25">
      <c r="B28" s="8" t="s">
        <v>56</v>
      </c>
      <c r="C28" s="8" t="s">
        <v>82</v>
      </c>
      <c r="D28" s="25" t="s">
        <v>64</v>
      </c>
      <c r="E28" s="48">
        <v>96</v>
      </c>
      <c r="F28" s="50">
        <v>19.5</v>
      </c>
      <c r="G28" s="27">
        <f t="shared" si="0"/>
        <v>1872</v>
      </c>
      <c r="H28" s="27">
        <f t="shared" si="1"/>
        <v>336.96</v>
      </c>
      <c r="I28" s="152">
        <f t="shared" si="2"/>
        <v>2208.96</v>
      </c>
    </row>
    <row r="29" spans="2:11" ht="15.75" x14ac:dyDescent="0.25">
      <c r="B29" s="9" t="s">
        <v>13</v>
      </c>
      <c r="C29" s="9" t="s">
        <v>23</v>
      </c>
      <c r="D29" s="26" t="s">
        <v>62</v>
      </c>
      <c r="E29" s="49">
        <v>88</v>
      </c>
      <c r="F29" s="50">
        <v>7.6</v>
      </c>
      <c r="G29" s="27">
        <f t="shared" si="0"/>
        <v>668.8</v>
      </c>
      <c r="H29" s="27">
        <f t="shared" si="1"/>
        <v>120.38399999999999</v>
      </c>
      <c r="I29" s="152">
        <f t="shared" si="2"/>
        <v>789.18399999999997</v>
      </c>
    </row>
    <row r="30" spans="2:11" ht="15.75" x14ac:dyDescent="0.25">
      <c r="B30" s="8" t="s">
        <v>56</v>
      </c>
      <c r="C30" s="8" t="s">
        <v>83</v>
      </c>
      <c r="D30" s="25" t="s">
        <v>58</v>
      </c>
      <c r="E30" s="48">
        <v>31</v>
      </c>
      <c r="F30" s="50">
        <v>64</v>
      </c>
      <c r="G30" s="27">
        <f t="shared" si="0"/>
        <v>1984</v>
      </c>
      <c r="H30" s="27">
        <f t="shared" si="1"/>
        <v>357.12</v>
      </c>
      <c r="I30" s="152">
        <f t="shared" si="2"/>
        <v>2341.12</v>
      </c>
    </row>
    <row r="31" spans="2:11" ht="15.75" x14ac:dyDescent="0.25">
      <c r="B31" s="8" t="s">
        <v>56</v>
      </c>
      <c r="C31" s="8" t="s">
        <v>84</v>
      </c>
      <c r="D31" s="25" t="s">
        <v>64</v>
      </c>
      <c r="E31" s="48">
        <v>45</v>
      </c>
      <c r="F31" s="50">
        <v>18.75</v>
      </c>
      <c r="G31" s="27">
        <f t="shared" si="0"/>
        <v>843.75</v>
      </c>
      <c r="H31" s="27">
        <f t="shared" si="1"/>
        <v>151.875</v>
      </c>
      <c r="I31" s="152">
        <f t="shared" si="2"/>
        <v>995.625</v>
      </c>
    </row>
    <row r="32" spans="2:11" ht="15.75" x14ac:dyDescent="0.25">
      <c r="B32" s="9" t="s">
        <v>60</v>
      </c>
      <c r="C32" s="9" t="s">
        <v>85</v>
      </c>
      <c r="D32" s="26" t="s">
        <v>12</v>
      </c>
      <c r="E32" s="49">
        <v>94</v>
      </c>
      <c r="F32" s="50">
        <v>7.2</v>
      </c>
      <c r="G32" s="27">
        <f t="shared" si="0"/>
        <v>676.80000000000007</v>
      </c>
      <c r="H32" s="27">
        <f t="shared" si="1"/>
        <v>121.82400000000001</v>
      </c>
      <c r="I32" s="152">
        <f t="shared" si="2"/>
        <v>798.62400000000002</v>
      </c>
    </row>
    <row r="33" spans="2:9" ht="15.75" x14ac:dyDescent="0.25">
      <c r="B33" s="8" t="s">
        <v>56</v>
      </c>
      <c r="C33" s="8" t="s">
        <v>63</v>
      </c>
      <c r="D33" s="25" t="s">
        <v>64</v>
      </c>
      <c r="E33" s="48">
        <v>99</v>
      </c>
      <c r="F33" s="50">
        <v>16</v>
      </c>
      <c r="G33" s="27">
        <f t="shared" si="0"/>
        <v>1584</v>
      </c>
      <c r="H33" s="27">
        <f t="shared" si="1"/>
        <v>285.12</v>
      </c>
      <c r="I33" s="152">
        <f t="shared" si="2"/>
        <v>1869.12</v>
      </c>
    </row>
    <row r="34" spans="2:9" ht="15.75" x14ac:dyDescent="0.25">
      <c r="B34" s="8" t="s">
        <v>66</v>
      </c>
      <c r="C34" s="8" t="s">
        <v>67</v>
      </c>
      <c r="D34" s="25" t="s">
        <v>68</v>
      </c>
      <c r="E34" s="48">
        <v>78</v>
      </c>
      <c r="F34" s="50">
        <v>15.96</v>
      </c>
      <c r="G34" s="27">
        <f t="shared" si="0"/>
        <v>1244.8800000000001</v>
      </c>
      <c r="H34" s="27">
        <f t="shared" si="1"/>
        <v>224.07840000000002</v>
      </c>
      <c r="I34" s="152">
        <f t="shared" si="2"/>
        <v>1468.9584000000002</v>
      </c>
    </row>
    <row r="35" spans="2:9" ht="15.75" x14ac:dyDescent="0.25">
      <c r="B35" s="9" t="s">
        <v>13</v>
      </c>
      <c r="C35" s="9" t="s">
        <v>36</v>
      </c>
      <c r="D35" s="26" t="s">
        <v>62</v>
      </c>
      <c r="E35" s="49">
        <v>71</v>
      </c>
      <c r="F35" s="50">
        <v>9.1999999999999993</v>
      </c>
      <c r="G35" s="27">
        <f t="shared" si="0"/>
        <v>653.19999999999993</v>
      </c>
      <c r="H35" s="27">
        <f t="shared" si="1"/>
        <v>117.57599999999998</v>
      </c>
      <c r="I35" s="152">
        <f t="shared" si="2"/>
        <v>770.77599999999995</v>
      </c>
    </row>
    <row r="36" spans="2:9" ht="15.75" x14ac:dyDescent="0.25">
      <c r="B36" s="9" t="s">
        <v>13</v>
      </c>
      <c r="C36" s="9" t="s">
        <v>34</v>
      </c>
      <c r="D36" s="26" t="s">
        <v>62</v>
      </c>
      <c r="E36" s="49">
        <v>18</v>
      </c>
      <c r="F36" s="50">
        <v>8.1999999999999993</v>
      </c>
      <c r="G36" s="27">
        <f t="shared" si="0"/>
        <v>147.6</v>
      </c>
      <c r="H36" s="27">
        <f t="shared" si="1"/>
        <v>26.567999999999998</v>
      </c>
      <c r="I36" s="152">
        <f t="shared" si="2"/>
        <v>174.16800000000001</v>
      </c>
    </row>
    <row r="37" spans="2:9" ht="15.75" x14ac:dyDescent="0.25">
      <c r="B37" s="9" t="s">
        <v>13</v>
      </c>
      <c r="C37" s="9" t="s">
        <v>42</v>
      </c>
      <c r="D37" s="26" t="s">
        <v>62</v>
      </c>
      <c r="E37" s="49">
        <v>43</v>
      </c>
      <c r="F37" s="50">
        <v>6</v>
      </c>
      <c r="G37" s="27">
        <f t="shared" si="0"/>
        <v>258</v>
      </c>
      <c r="H37" s="27">
        <f t="shared" si="1"/>
        <v>46.44</v>
      </c>
      <c r="I37" s="152">
        <f t="shared" si="2"/>
        <v>304.44</v>
      </c>
    </row>
    <row r="38" spans="2:9" ht="15.75" x14ac:dyDescent="0.25">
      <c r="B38" s="9" t="s">
        <v>9</v>
      </c>
      <c r="C38" s="9" t="s">
        <v>35</v>
      </c>
      <c r="D38" s="26" t="s">
        <v>12</v>
      </c>
      <c r="E38" s="49">
        <v>76</v>
      </c>
      <c r="F38" s="50">
        <v>4.5</v>
      </c>
      <c r="G38" s="27">
        <f t="shared" si="0"/>
        <v>342</v>
      </c>
      <c r="H38" s="27">
        <f t="shared" si="1"/>
        <v>61.559999999999995</v>
      </c>
      <c r="I38" s="152">
        <f t="shared" si="2"/>
        <v>403.56</v>
      </c>
    </row>
    <row r="39" spans="2:9" ht="15.75" x14ac:dyDescent="0.25">
      <c r="B39" s="9" t="s">
        <v>13</v>
      </c>
      <c r="C39" s="9" t="s">
        <v>18</v>
      </c>
      <c r="D39" s="26" t="s">
        <v>62</v>
      </c>
      <c r="E39" s="49">
        <v>48</v>
      </c>
      <c r="F39" s="50">
        <v>7.6</v>
      </c>
      <c r="G39" s="27">
        <f t="shared" si="0"/>
        <v>364.79999999999995</v>
      </c>
      <c r="H39" s="27">
        <f t="shared" si="1"/>
        <v>65.663999999999987</v>
      </c>
      <c r="I39" s="152">
        <f t="shared" si="2"/>
        <v>430.46399999999994</v>
      </c>
    </row>
    <row r="40" spans="2:9" ht="15.75" x14ac:dyDescent="0.25">
      <c r="B40" s="9" t="s">
        <v>9</v>
      </c>
      <c r="C40" s="9" t="s">
        <v>32</v>
      </c>
      <c r="D40" s="26" t="s">
        <v>12</v>
      </c>
      <c r="E40" s="49">
        <v>15</v>
      </c>
      <c r="F40" s="50">
        <v>8</v>
      </c>
      <c r="G40" s="27">
        <f t="shared" si="0"/>
        <v>120</v>
      </c>
      <c r="H40" s="27">
        <f t="shared" si="1"/>
        <v>21.599999999999998</v>
      </c>
      <c r="I40" s="152">
        <f t="shared" si="2"/>
        <v>141.6</v>
      </c>
    </row>
    <row r="41" spans="2:9" ht="15.75" x14ac:dyDescent="0.25">
      <c r="B41" s="9" t="s">
        <v>13</v>
      </c>
      <c r="C41" s="9" t="s">
        <v>86</v>
      </c>
      <c r="D41" s="26" t="s">
        <v>62</v>
      </c>
      <c r="E41" s="49">
        <v>77</v>
      </c>
      <c r="F41" s="50">
        <v>9</v>
      </c>
      <c r="G41" s="27">
        <f t="shared" si="0"/>
        <v>693</v>
      </c>
      <c r="H41" s="27">
        <f t="shared" si="1"/>
        <v>124.74</v>
      </c>
      <c r="I41" s="152">
        <f t="shared" si="2"/>
        <v>817.74</v>
      </c>
    </row>
    <row r="42" spans="2:9" ht="15.75" x14ac:dyDescent="0.25">
      <c r="B42" s="9" t="s">
        <v>13</v>
      </c>
      <c r="C42" s="9" t="s">
        <v>21</v>
      </c>
      <c r="D42" s="26" t="s">
        <v>62</v>
      </c>
      <c r="E42" s="49">
        <v>86</v>
      </c>
      <c r="F42" s="50">
        <v>7.4</v>
      </c>
      <c r="G42" s="27">
        <f t="shared" si="0"/>
        <v>636.4</v>
      </c>
      <c r="H42" s="27">
        <f t="shared" si="1"/>
        <v>114.55199999999999</v>
      </c>
      <c r="I42" s="152">
        <f t="shared" si="2"/>
        <v>750.952</v>
      </c>
    </row>
    <row r="43" spans="2:9" ht="15.75" x14ac:dyDescent="0.25">
      <c r="B43" s="9" t="s">
        <v>13</v>
      </c>
      <c r="C43" s="9" t="s">
        <v>41</v>
      </c>
      <c r="D43" s="26" t="s">
        <v>62</v>
      </c>
      <c r="E43" s="49">
        <v>75</v>
      </c>
      <c r="F43" s="50">
        <v>9.4</v>
      </c>
      <c r="G43" s="27">
        <f t="shared" si="0"/>
        <v>705</v>
      </c>
      <c r="H43" s="27">
        <f t="shared" si="1"/>
        <v>126.89999999999999</v>
      </c>
      <c r="I43" s="152">
        <f t="shared" si="2"/>
        <v>831.9</v>
      </c>
    </row>
    <row r="44" spans="2:9" ht="15.75" x14ac:dyDescent="0.25">
      <c r="B44" s="9" t="s">
        <v>13</v>
      </c>
      <c r="C44" s="9" t="s">
        <v>14</v>
      </c>
      <c r="D44" s="26" t="s">
        <v>62</v>
      </c>
      <c r="E44" s="49">
        <v>92</v>
      </c>
      <c r="F44" s="50">
        <v>6.5</v>
      </c>
      <c r="G44" s="27">
        <f t="shared" si="0"/>
        <v>598</v>
      </c>
      <c r="H44" s="27">
        <f t="shared" si="1"/>
        <v>107.64</v>
      </c>
      <c r="I44" s="152">
        <f t="shared" si="2"/>
        <v>705.64</v>
      </c>
    </row>
    <row r="45" spans="2:9" ht="15.75" x14ac:dyDescent="0.25">
      <c r="B45" s="8" t="s">
        <v>66</v>
      </c>
      <c r="C45" s="8" t="s">
        <v>73</v>
      </c>
      <c r="D45" s="25" t="s">
        <v>68</v>
      </c>
      <c r="E45" s="48">
        <v>95</v>
      </c>
      <c r="F45" s="50">
        <v>16.12</v>
      </c>
      <c r="G45" s="27">
        <f t="shared" si="0"/>
        <v>1531.4</v>
      </c>
      <c r="H45" s="27">
        <f t="shared" si="1"/>
        <v>275.65199999999999</v>
      </c>
      <c r="I45" s="152">
        <f t="shared" si="2"/>
        <v>1807.0520000000001</v>
      </c>
    </row>
    <row r="46" spans="2:9" ht="15.75" x14ac:dyDescent="0.25">
      <c r="B46" s="9" t="s">
        <v>13</v>
      </c>
      <c r="C46" s="9" t="s">
        <v>28</v>
      </c>
      <c r="D46" s="26" t="s">
        <v>62</v>
      </c>
      <c r="E46" s="49">
        <v>30</v>
      </c>
      <c r="F46" s="50">
        <v>8</v>
      </c>
      <c r="G46" s="27">
        <f t="shared" si="0"/>
        <v>240</v>
      </c>
      <c r="H46" s="27">
        <f t="shared" si="1"/>
        <v>43.199999999999996</v>
      </c>
      <c r="I46" s="152">
        <f t="shared" si="2"/>
        <v>283.2</v>
      </c>
    </row>
    <row r="47" spans="2:9" ht="15.75" x14ac:dyDescent="0.25">
      <c r="B47" s="9" t="s">
        <v>13</v>
      </c>
      <c r="C47" s="9" t="s">
        <v>16</v>
      </c>
      <c r="D47" s="26" t="s">
        <v>62</v>
      </c>
      <c r="E47" s="49">
        <v>20</v>
      </c>
      <c r="F47" s="50">
        <v>8.6999999999999993</v>
      </c>
      <c r="G47" s="27">
        <f t="shared" si="0"/>
        <v>174</v>
      </c>
      <c r="H47" s="27">
        <f t="shared" si="1"/>
        <v>31.32</v>
      </c>
      <c r="I47" s="152">
        <f t="shared" si="2"/>
        <v>205.32</v>
      </c>
    </row>
    <row r="48" spans="2:9" ht="15.75" x14ac:dyDescent="0.25">
      <c r="B48" s="9" t="s">
        <v>13</v>
      </c>
      <c r="C48" s="9" t="s">
        <v>43</v>
      </c>
      <c r="D48" s="26" t="s">
        <v>62</v>
      </c>
      <c r="E48" s="49">
        <v>78</v>
      </c>
      <c r="F48" s="50">
        <v>7.8</v>
      </c>
      <c r="G48" s="27">
        <f t="shared" si="0"/>
        <v>608.4</v>
      </c>
      <c r="H48" s="27">
        <f t="shared" si="1"/>
        <v>109.51199999999999</v>
      </c>
      <c r="I48" s="152">
        <f t="shared" si="2"/>
        <v>717.91199999999992</v>
      </c>
    </row>
    <row r="49" spans="2:9" ht="15.75" x14ac:dyDescent="0.25">
      <c r="B49" s="9" t="s">
        <v>13</v>
      </c>
      <c r="C49" s="9" t="s">
        <v>45</v>
      </c>
      <c r="D49" s="26" t="s">
        <v>62</v>
      </c>
      <c r="E49" s="49">
        <v>19</v>
      </c>
      <c r="F49" s="50">
        <v>7.5</v>
      </c>
      <c r="G49" s="27">
        <f t="shared" si="0"/>
        <v>142.5</v>
      </c>
      <c r="H49" s="27">
        <f t="shared" si="1"/>
        <v>25.65</v>
      </c>
      <c r="I49" s="152">
        <f t="shared" si="2"/>
        <v>168.15</v>
      </c>
    </row>
    <row r="50" spans="2:9" ht="15.75" x14ac:dyDescent="0.25">
      <c r="B50" s="9" t="s">
        <v>13</v>
      </c>
      <c r="C50" s="9" t="s">
        <v>26</v>
      </c>
      <c r="D50" s="26" t="s">
        <v>62</v>
      </c>
      <c r="E50" s="49">
        <v>73</v>
      </c>
      <c r="F50" s="50">
        <v>6.8</v>
      </c>
      <c r="G50" s="27">
        <f t="shared" si="0"/>
        <v>496.4</v>
      </c>
      <c r="H50" s="27">
        <f t="shared" si="1"/>
        <v>89.35199999999999</v>
      </c>
      <c r="I50" s="152">
        <f t="shared" si="2"/>
        <v>585.75199999999995</v>
      </c>
    </row>
    <row r="51" spans="2:9" ht="15.75" x14ac:dyDescent="0.25">
      <c r="B51" s="9" t="s">
        <v>13</v>
      </c>
      <c r="C51" s="9" t="s">
        <v>39</v>
      </c>
      <c r="D51" s="26" t="s">
        <v>62</v>
      </c>
      <c r="E51" s="49">
        <v>78</v>
      </c>
      <c r="F51" s="50">
        <v>8.3000000000000007</v>
      </c>
      <c r="G51" s="27">
        <f t="shared" si="0"/>
        <v>647.40000000000009</v>
      </c>
      <c r="H51" s="27">
        <f t="shared" si="1"/>
        <v>116.53200000000001</v>
      </c>
      <c r="I51" s="152">
        <f t="shared" si="2"/>
        <v>763.93200000000013</v>
      </c>
    </row>
    <row r="52" spans="2:9" ht="15.75" x14ac:dyDescent="0.25">
      <c r="B52" s="9" t="s">
        <v>9</v>
      </c>
      <c r="C52" s="9" t="s">
        <v>30</v>
      </c>
      <c r="D52" s="26" t="s">
        <v>12</v>
      </c>
      <c r="E52" s="49">
        <v>16</v>
      </c>
      <c r="F52" s="50">
        <v>7.2</v>
      </c>
      <c r="G52" s="27">
        <f t="shared" si="0"/>
        <v>115.2</v>
      </c>
      <c r="H52" s="27">
        <f t="shared" si="1"/>
        <v>20.736000000000001</v>
      </c>
      <c r="I52" s="152">
        <f t="shared" si="2"/>
        <v>135.93600000000001</v>
      </c>
    </row>
    <row r="53" spans="2:9" ht="15.75" x14ac:dyDescent="0.25">
      <c r="B53" s="9" t="s">
        <v>9</v>
      </c>
      <c r="C53" s="9" t="s">
        <v>27</v>
      </c>
      <c r="D53" s="26" t="s">
        <v>12</v>
      </c>
      <c r="E53" s="49">
        <v>96</v>
      </c>
      <c r="F53" s="50">
        <v>7.9</v>
      </c>
      <c r="G53" s="27">
        <f t="shared" si="0"/>
        <v>758.40000000000009</v>
      </c>
      <c r="H53" s="27">
        <f t="shared" si="1"/>
        <v>136.512</v>
      </c>
      <c r="I53" s="152">
        <f t="shared" si="2"/>
        <v>894.91200000000003</v>
      </c>
    </row>
    <row r="54" spans="2:9" ht="15.75" x14ac:dyDescent="0.25">
      <c r="B54" s="9" t="s">
        <v>9</v>
      </c>
      <c r="C54" s="9" t="s">
        <v>10</v>
      </c>
      <c r="D54" s="26" t="s">
        <v>12</v>
      </c>
      <c r="E54" s="49">
        <v>7</v>
      </c>
      <c r="F54" s="50">
        <v>4.8</v>
      </c>
      <c r="G54" s="27">
        <f t="shared" si="0"/>
        <v>33.6</v>
      </c>
      <c r="H54" s="27">
        <f t="shared" si="1"/>
        <v>6.048</v>
      </c>
      <c r="I54" s="152">
        <f t="shared" si="2"/>
        <v>39.648000000000003</v>
      </c>
    </row>
    <row r="55" spans="2:9" ht="15.75" x14ac:dyDescent="0.25">
      <c r="B55" s="9" t="s">
        <v>9</v>
      </c>
      <c r="C55" s="9" t="s">
        <v>17</v>
      </c>
      <c r="D55" s="26" t="s">
        <v>12</v>
      </c>
      <c r="E55" s="49">
        <v>6</v>
      </c>
      <c r="F55" s="50">
        <v>9.27</v>
      </c>
      <c r="G55" s="27">
        <f t="shared" si="0"/>
        <v>55.62</v>
      </c>
      <c r="H55" s="27">
        <f t="shared" si="1"/>
        <v>10.0116</v>
      </c>
      <c r="I55" s="152">
        <f t="shared" si="2"/>
        <v>65.631599999999992</v>
      </c>
    </row>
    <row r="56" spans="2:9" ht="15.75" x14ac:dyDescent="0.25">
      <c r="B56" s="9" t="s">
        <v>9</v>
      </c>
      <c r="C56" s="9" t="s">
        <v>24</v>
      </c>
      <c r="D56" s="26" t="s">
        <v>12</v>
      </c>
      <c r="E56" s="49">
        <v>41</v>
      </c>
      <c r="F56" s="50">
        <v>5.6</v>
      </c>
      <c r="G56" s="27">
        <f t="shared" si="0"/>
        <v>229.6</v>
      </c>
      <c r="H56" s="27">
        <f t="shared" si="1"/>
        <v>41.327999999999996</v>
      </c>
      <c r="I56" s="152">
        <f t="shared" si="2"/>
        <v>270.928</v>
      </c>
    </row>
    <row r="57" spans="2:9" ht="15.75" x14ac:dyDescent="0.25">
      <c r="B57" s="9" t="s">
        <v>9</v>
      </c>
      <c r="C57" s="9" t="s">
        <v>22</v>
      </c>
      <c r="D57" s="26" t="s">
        <v>12</v>
      </c>
      <c r="E57" s="49">
        <v>33</v>
      </c>
      <c r="F57" s="50">
        <v>6</v>
      </c>
      <c r="G57" s="27">
        <f t="shared" si="0"/>
        <v>198</v>
      </c>
      <c r="H57" s="27">
        <f t="shared" si="1"/>
        <v>35.64</v>
      </c>
      <c r="I57" s="152">
        <f t="shared" si="2"/>
        <v>233.64</v>
      </c>
    </row>
    <row r="58" spans="2:9" ht="15.75" x14ac:dyDescent="0.25">
      <c r="B58" s="9" t="s">
        <v>9</v>
      </c>
      <c r="C58" s="9" t="s">
        <v>15</v>
      </c>
      <c r="D58" s="26" t="s">
        <v>12</v>
      </c>
      <c r="E58" s="49">
        <v>73</v>
      </c>
      <c r="F58" s="50">
        <v>6.5</v>
      </c>
      <c r="G58" s="27">
        <f t="shared" si="0"/>
        <v>474.5</v>
      </c>
      <c r="H58" s="27">
        <f t="shared" si="1"/>
        <v>85.41</v>
      </c>
      <c r="I58" s="152">
        <f t="shared" si="2"/>
        <v>559.91</v>
      </c>
    </row>
    <row r="59" spans="2:9" ht="15.75" x14ac:dyDescent="0.25">
      <c r="B59" s="8" t="s">
        <v>66</v>
      </c>
      <c r="C59" s="8" t="s">
        <v>69</v>
      </c>
      <c r="D59" s="25" t="s">
        <v>64</v>
      </c>
      <c r="E59" s="48">
        <v>44</v>
      </c>
      <c r="F59" s="50">
        <v>7.5</v>
      </c>
      <c r="G59" s="27">
        <f t="shared" si="0"/>
        <v>330</v>
      </c>
      <c r="H59" s="27">
        <f t="shared" si="1"/>
        <v>59.4</v>
      </c>
      <c r="I59" s="152">
        <f t="shared" si="2"/>
        <v>389.4</v>
      </c>
    </row>
    <row r="60" spans="2:9" ht="15.75" x14ac:dyDescent="0.25">
      <c r="B60" s="8" t="s">
        <v>66</v>
      </c>
      <c r="C60" s="8" t="s">
        <v>67</v>
      </c>
      <c r="D60" s="25" t="s">
        <v>68</v>
      </c>
      <c r="E60" s="48">
        <v>26</v>
      </c>
      <c r="F60" s="50">
        <v>15.96</v>
      </c>
      <c r="G60" s="27">
        <f t="shared" si="0"/>
        <v>414.96000000000004</v>
      </c>
      <c r="H60" s="27">
        <f t="shared" si="1"/>
        <v>74.692800000000005</v>
      </c>
      <c r="I60" s="152">
        <f t="shared" si="2"/>
        <v>489.65280000000007</v>
      </c>
    </row>
    <row r="61" spans="2:9" ht="15.75" x14ac:dyDescent="0.25">
      <c r="B61" s="9" t="s">
        <v>60</v>
      </c>
      <c r="C61" s="9" t="s">
        <v>72</v>
      </c>
      <c r="D61" s="26" t="s">
        <v>12</v>
      </c>
      <c r="E61" s="49">
        <v>76</v>
      </c>
      <c r="F61" s="50">
        <v>9.5</v>
      </c>
      <c r="G61" s="27">
        <f t="shared" si="0"/>
        <v>722</v>
      </c>
      <c r="H61" s="27">
        <f t="shared" si="1"/>
        <v>129.96</v>
      </c>
      <c r="I61" s="152">
        <f t="shared" si="2"/>
        <v>851.96</v>
      </c>
    </row>
    <row r="62" spans="2:9" ht="15.75" x14ac:dyDescent="0.25">
      <c r="B62" s="9" t="s">
        <v>13</v>
      </c>
      <c r="C62" s="9" t="s">
        <v>18</v>
      </c>
      <c r="D62" s="26" t="s">
        <v>62</v>
      </c>
      <c r="E62" s="49">
        <v>45</v>
      </c>
      <c r="F62" s="50">
        <v>7.6</v>
      </c>
      <c r="G62" s="27">
        <f t="shared" si="0"/>
        <v>342</v>
      </c>
      <c r="H62" s="27">
        <f t="shared" si="1"/>
        <v>61.559999999999995</v>
      </c>
      <c r="I62" s="152">
        <f t="shared" si="2"/>
        <v>403.56</v>
      </c>
    </row>
    <row r="63" spans="2:9" ht="15.75" x14ac:dyDescent="0.25">
      <c r="B63" s="9" t="s">
        <v>60</v>
      </c>
      <c r="C63" s="9" t="s">
        <v>74</v>
      </c>
      <c r="D63" s="26" t="s">
        <v>12</v>
      </c>
      <c r="E63" s="49">
        <v>40</v>
      </c>
      <c r="F63" s="50">
        <v>9.3000000000000007</v>
      </c>
      <c r="G63" s="27">
        <f t="shared" si="0"/>
        <v>372</v>
      </c>
      <c r="H63" s="27">
        <f t="shared" si="1"/>
        <v>66.959999999999994</v>
      </c>
      <c r="I63" s="152">
        <f t="shared" si="2"/>
        <v>438.96</v>
      </c>
    </row>
    <row r="64" spans="2:9" ht="15.75" x14ac:dyDescent="0.25">
      <c r="B64" s="9" t="s">
        <v>60</v>
      </c>
      <c r="C64" s="9" t="s">
        <v>75</v>
      </c>
      <c r="D64" s="26" t="s">
        <v>76</v>
      </c>
      <c r="E64" s="49">
        <v>27</v>
      </c>
      <c r="F64" s="50">
        <v>7.8</v>
      </c>
      <c r="G64" s="27">
        <f t="shared" si="0"/>
        <v>210.6</v>
      </c>
      <c r="H64" s="27">
        <f t="shared" si="1"/>
        <v>37.907999999999994</v>
      </c>
      <c r="I64" s="152">
        <f t="shared" si="2"/>
        <v>248.50799999999998</v>
      </c>
    </row>
    <row r="65" spans="2:9" ht="15.75" x14ac:dyDescent="0.25">
      <c r="B65" s="9" t="s">
        <v>60</v>
      </c>
      <c r="C65" s="9" t="s">
        <v>77</v>
      </c>
      <c r="D65" s="26" t="s">
        <v>76</v>
      </c>
      <c r="E65" s="49">
        <v>64</v>
      </c>
      <c r="F65" s="50">
        <v>8.9</v>
      </c>
      <c r="G65" s="27">
        <f t="shared" si="0"/>
        <v>569.6</v>
      </c>
      <c r="H65" s="27">
        <f t="shared" si="1"/>
        <v>102.52800000000001</v>
      </c>
      <c r="I65" s="152">
        <f t="shared" si="2"/>
        <v>672.12800000000004</v>
      </c>
    </row>
    <row r="66" spans="2:9" ht="15.75" x14ac:dyDescent="0.25">
      <c r="B66" s="9" t="s">
        <v>60</v>
      </c>
      <c r="C66" s="9" t="s">
        <v>78</v>
      </c>
      <c r="D66" s="26" t="s">
        <v>76</v>
      </c>
      <c r="E66" s="49">
        <v>96</v>
      </c>
      <c r="F66" s="50">
        <v>8.5</v>
      </c>
      <c r="G66" s="27">
        <f t="shared" si="0"/>
        <v>816</v>
      </c>
      <c r="H66" s="27">
        <f t="shared" si="1"/>
        <v>146.88</v>
      </c>
      <c r="I66" s="152">
        <f t="shared" si="2"/>
        <v>962.88</v>
      </c>
    </row>
    <row r="67" spans="2:9" ht="15.75" x14ac:dyDescent="0.25">
      <c r="B67" s="8" t="s">
        <v>66</v>
      </c>
      <c r="C67" s="8" t="s">
        <v>73</v>
      </c>
      <c r="D67" s="25" t="s">
        <v>68</v>
      </c>
      <c r="E67" s="48">
        <v>6</v>
      </c>
      <c r="F67" s="50">
        <v>16.12</v>
      </c>
      <c r="G67" s="27">
        <f t="shared" si="0"/>
        <v>96.72</v>
      </c>
      <c r="H67" s="27">
        <f t="shared" si="1"/>
        <v>17.409599999999998</v>
      </c>
      <c r="I67" s="152">
        <f t="shared" si="2"/>
        <v>114.1296</v>
      </c>
    </row>
    <row r="68" spans="2:9" ht="15.75" x14ac:dyDescent="0.25">
      <c r="B68" s="9" t="s">
        <v>60</v>
      </c>
      <c r="C68" s="9" t="s">
        <v>79</v>
      </c>
      <c r="D68" s="26" t="s">
        <v>76</v>
      </c>
      <c r="E68" s="49">
        <v>90</v>
      </c>
      <c r="F68" s="50">
        <v>6.8</v>
      </c>
      <c r="G68" s="27">
        <f t="shared" si="0"/>
        <v>612</v>
      </c>
      <c r="H68" s="27">
        <f t="shared" si="1"/>
        <v>110.16</v>
      </c>
      <c r="I68" s="152">
        <f t="shared" si="2"/>
        <v>722.16</v>
      </c>
    </row>
    <row r="69" spans="2:9" ht="15.75" x14ac:dyDescent="0.25">
      <c r="B69" s="8" t="s">
        <v>56</v>
      </c>
      <c r="C69" s="8" t="s">
        <v>80</v>
      </c>
      <c r="D69" s="25" t="s">
        <v>58</v>
      </c>
      <c r="E69" s="48">
        <v>51</v>
      </c>
      <c r="F69" s="50">
        <v>58</v>
      </c>
      <c r="G69" s="27">
        <f t="shared" si="0"/>
        <v>2958</v>
      </c>
      <c r="H69" s="27">
        <f t="shared" si="1"/>
        <v>532.43999999999994</v>
      </c>
      <c r="I69" s="152">
        <f t="shared" si="2"/>
        <v>3490.44</v>
      </c>
    </row>
    <row r="70" spans="2:9" ht="15.75" x14ac:dyDescent="0.25">
      <c r="B70" s="8" t="s">
        <v>56</v>
      </c>
      <c r="C70" s="8" t="s">
        <v>87</v>
      </c>
      <c r="D70" s="25" t="s">
        <v>64</v>
      </c>
      <c r="E70" s="48">
        <v>34</v>
      </c>
      <c r="F70" s="50">
        <v>18</v>
      </c>
      <c r="G70" s="27">
        <f t="shared" ref="G70:G106" si="3">PRODUCT(E70:F70)</f>
        <v>612</v>
      </c>
      <c r="H70" s="27">
        <f t="shared" ref="H70:H106" si="4">PRODUCT(G70,$L$2)</f>
        <v>110.16</v>
      </c>
      <c r="I70" s="152">
        <f t="shared" si="2"/>
        <v>722.16</v>
      </c>
    </row>
    <row r="71" spans="2:9" ht="15.75" x14ac:dyDescent="0.25">
      <c r="B71" s="8" t="s">
        <v>56</v>
      </c>
      <c r="C71" s="8" t="s">
        <v>57</v>
      </c>
      <c r="D71" s="25" t="s">
        <v>58</v>
      </c>
      <c r="E71" s="48">
        <v>43</v>
      </c>
      <c r="F71" s="50">
        <v>48</v>
      </c>
      <c r="G71" s="27">
        <f t="shared" si="3"/>
        <v>2064</v>
      </c>
      <c r="H71" s="27">
        <f t="shared" si="4"/>
        <v>371.52</v>
      </c>
      <c r="I71" s="152">
        <f t="shared" ref="I71:I106" si="5">SUM(G71:H71)</f>
        <v>2435.52</v>
      </c>
    </row>
    <row r="72" spans="2:9" ht="15.75" x14ac:dyDescent="0.25">
      <c r="B72" s="8" t="s">
        <v>9</v>
      </c>
      <c r="C72" s="8" t="s">
        <v>38</v>
      </c>
      <c r="D72" s="25" t="s">
        <v>12</v>
      </c>
      <c r="E72" s="48">
        <v>79</v>
      </c>
      <c r="F72" s="50">
        <v>5.68</v>
      </c>
      <c r="G72" s="27">
        <f t="shared" si="3"/>
        <v>448.71999999999997</v>
      </c>
      <c r="H72" s="27">
        <f t="shared" si="4"/>
        <v>80.769599999999997</v>
      </c>
      <c r="I72" s="152">
        <f t="shared" si="5"/>
        <v>529.4896</v>
      </c>
    </row>
    <row r="73" spans="2:9" ht="15.75" x14ac:dyDescent="0.25">
      <c r="B73" s="8" t="s">
        <v>56</v>
      </c>
      <c r="C73" s="8" t="s">
        <v>82</v>
      </c>
      <c r="D73" s="25" t="s">
        <v>64</v>
      </c>
      <c r="E73" s="48">
        <v>42</v>
      </c>
      <c r="F73" s="50">
        <v>19.5</v>
      </c>
      <c r="G73" s="27">
        <f t="shared" si="3"/>
        <v>819</v>
      </c>
      <c r="H73" s="27">
        <f t="shared" si="4"/>
        <v>147.41999999999999</v>
      </c>
      <c r="I73" s="152">
        <f t="shared" si="5"/>
        <v>966.42</v>
      </c>
    </row>
    <row r="74" spans="2:9" ht="15.75" x14ac:dyDescent="0.25">
      <c r="B74" s="8" t="s">
        <v>56</v>
      </c>
      <c r="C74" s="8" t="s">
        <v>83</v>
      </c>
      <c r="D74" s="25" t="s">
        <v>58</v>
      </c>
      <c r="E74" s="48">
        <v>58</v>
      </c>
      <c r="F74" s="50">
        <v>64</v>
      </c>
      <c r="G74" s="27">
        <f t="shared" si="3"/>
        <v>3712</v>
      </c>
      <c r="H74" s="27">
        <f t="shared" si="4"/>
        <v>668.16</v>
      </c>
      <c r="I74" s="152">
        <f t="shared" si="5"/>
        <v>4380.16</v>
      </c>
    </row>
    <row r="75" spans="2:9" ht="15.75" x14ac:dyDescent="0.25">
      <c r="B75" s="8" t="s">
        <v>56</v>
      </c>
      <c r="C75" s="8" t="s">
        <v>84</v>
      </c>
      <c r="D75" s="25" t="s">
        <v>64</v>
      </c>
      <c r="E75" s="48">
        <v>77</v>
      </c>
      <c r="F75" s="50">
        <v>18.75</v>
      </c>
      <c r="G75" s="27">
        <f t="shared" si="3"/>
        <v>1443.75</v>
      </c>
      <c r="H75" s="27">
        <f t="shared" si="4"/>
        <v>259.875</v>
      </c>
      <c r="I75" s="152">
        <f t="shared" si="5"/>
        <v>1703.625</v>
      </c>
    </row>
    <row r="76" spans="2:9" ht="15.75" x14ac:dyDescent="0.25">
      <c r="B76" s="8" t="s">
        <v>56</v>
      </c>
      <c r="C76" s="8" t="s">
        <v>71</v>
      </c>
      <c r="D76" s="25" t="s">
        <v>64</v>
      </c>
      <c r="E76" s="48">
        <v>71</v>
      </c>
      <c r="F76" s="50">
        <v>21</v>
      </c>
      <c r="G76" s="27">
        <f t="shared" si="3"/>
        <v>1491</v>
      </c>
      <c r="H76" s="27">
        <f t="shared" si="4"/>
        <v>268.38</v>
      </c>
      <c r="I76" s="152">
        <f t="shared" si="5"/>
        <v>1759.38</v>
      </c>
    </row>
    <row r="77" spans="2:9" ht="15.75" x14ac:dyDescent="0.25">
      <c r="B77" s="8" t="s">
        <v>66</v>
      </c>
      <c r="C77" s="8" t="s">
        <v>73</v>
      </c>
      <c r="D77" s="25" t="s">
        <v>68</v>
      </c>
      <c r="E77" s="48">
        <v>83</v>
      </c>
      <c r="F77" s="50">
        <v>16.12</v>
      </c>
      <c r="G77" s="27">
        <f t="shared" si="3"/>
        <v>1337.96</v>
      </c>
      <c r="H77" s="27">
        <f t="shared" si="4"/>
        <v>240.83279999999999</v>
      </c>
      <c r="I77" s="152">
        <f t="shared" si="5"/>
        <v>1578.7927999999999</v>
      </c>
    </row>
    <row r="78" spans="2:9" ht="15.75" x14ac:dyDescent="0.25">
      <c r="B78" s="9" t="s">
        <v>13</v>
      </c>
      <c r="C78" s="9" t="s">
        <v>36</v>
      </c>
      <c r="D78" s="26" t="s">
        <v>62</v>
      </c>
      <c r="E78" s="49">
        <v>69</v>
      </c>
      <c r="F78" s="50">
        <v>9.1999999999999993</v>
      </c>
      <c r="G78" s="27">
        <f t="shared" si="3"/>
        <v>634.79999999999995</v>
      </c>
      <c r="H78" s="27">
        <f t="shared" si="4"/>
        <v>114.26399999999998</v>
      </c>
      <c r="I78" s="152">
        <f t="shared" si="5"/>
        <v>749.06399999999996</v>
      </c>
    </row>
    <row r="79" spans="2:9" ht="15.75" x14ac:dyDescent="0.25">
      <c r="B79" s="9" t="s">
        <v>60</v>
      </c>
      <c r="C79" s="9" t="s">
        <v>85</v>
      </c>
      <c r="D79" s="26" t="s">
        <v>12</v>
      </c>
      <c r="E79" s="49">
        <v>89</v>
      </c>
      <c r="F79" s="50">
        <v>7.2</v>
      </c>
      <c r="G79" s="27">
        <f t="shared" si="3"/>
        <v>640.80000000000007</v>
      </c>
      <c r="H79" s="27">
        <f t="shared" si="4"/>
        <v>115.34400000000001</v>
      </c>
      <c r="I79" s="152">
        <f t="shared" si="5"/>
        <v>756.14400000000012</v>
      </c>
    </row>
    <row r="80" spans="2:9" ht="15.75" x14ac:dyDescent="0.25">
      <c r="B80" s="9" t="s">
        <v>13</v>
      </c>
      <c r="C80" s="9" t="s">
        <v>86</v>
      </c>
      <c r="D80" s="26" t="s">
        <v>62</v>
      </c>
      <c r="E80" s="49">
        <v>40</v>
      </c>
      <c r="F80" s="50">
        <v>9</v>
      </c>
      <c r="G80" s="27">
        <f t="shared" si="3"/>
        <v>360</v>
      </c>
      <c r="H80" s="27">
        <f t="shared" si="4"/>
        <v>64.8</v>
      </c>
      <c r="I80" s="152">
        <f t="shared" si="5"/>
        <v>424.8</v>
      </c>
    </row>
    <row r="81" spans="2:9" ht="15.75" x14ac:dyDescent="0.25">
      <c r="B81" s="9" t="s">
        <v>13</v>
      </c>
      <c r="C81" s="9" t="s">
        <v>21</v>
      </c>
      <c r="D81" s="26" t="s">
        <v>62</v>
      </c>
      <c r="E81" s="49">
        <v>74</v>
      </c>
      <c r="F81" s="50">
        <v>7.4</v>
      </c>
      <c r="G81" s="27">
        <f t="shared" si="3"/>
        <v>547.6</v>
      </c>
      <c r="H81" s="27">
        <f t="shared" si="4"/>
        <v>98.567999999999998</v>
      </c>
      <c r="I81" s="152">
        <f t="shared" si="5"/>
        <v>646.16800000000001</v>
      </c>
    </row>
    <row r="82" spans="2:9" ht="15.75" x14ac:dyDescent="0.25">
      <c r="B82" s="9" t="s">
        <v>13</v>
      </c>
      <c r="C82" s="9" t="s">
        <v>41</v>
      </c>
      <c r="D82" s="26" t="s">
        <v>62</v>
      </c>
      <c r="E82" s="49">
        <v>6</v>
      </c>
      <c r="F82" s="50">
        <v>9.4</v>
      </c>
      <c r="G82" s="27">
        <f t="shared" si="3"/>
        <v>56.400000000000006</v>
      </c>
      <c r="H82" s="27">
        <f t="shared" si="4"/>
        <v>10.152000000000001</v>
      </c>
      <c r="I82" s="152">
        <f t="shared" si="5"/>
        <v>66.552000000000007</v>
      </c>
    </row>
    <row r="83" spans="2:9" ht="15.75" x14ac:dyDescent="0.25">
      <c r="B83" s="9" t="s">
        <v>13</v>
      </c>
      <c r="C83" s="9" t="s">
        <v>14</v>
      </c>
      <c r="D83" s="26" t="s">
        <v>62</v>
      </c>
      <c r="E83" s="49">
        <v>91</v>
      </c>
      <c r="F83" s="50">
        <v>6.5</v>
      </c>
      <c r="G83" s="27">
        <f t="shared" si="3"/>
        <v>591.5</v>
      </c>
      <c r="H83" s="27">
        <f t="shared" si="4"/>
        <v>106.47</v>
      </c>
      <c r="I83" s="152">
        <f t="shared" si="5"/>
        <v>697.97</v>
      </c>
    </row>
    <row r="84" spans="2:9" ht="15.75" x14ac:dyDescent="0.25">
      <c r="B84" s="9" t="s">
        <v>13</v>
      </c>
      <c r="C84" s="9" t="s">
        <v>28</v>
      </c>
      <c r="D84" s="26" t="s">
        <v>62</v>
      </c>
      <c r="E84" s="49">
        <v>44</v>
      </c>
      <c r="F84" s="50">
        <v>8</v>
      </c>
      <c r="G84" s="27">
        <f t="shared" si="3"/>
        <v>352</v>
      </c>
      <c r="H84" s="27">
        <f t="shared" si="4"/>
        <v>63.36</v>
      </c>
      <c r="I84" s="152">
        <f t="shared" si="5"/>
        <v>415.36</v>
      </c>
    </row>
    <row r="85" spans="2:9" ht="15.75" x14ac:dyDescent="0.25">
      <c r="B85" s="9" t="s">
        <v>60</v>
      </c>
      <c r="C85" s="9" t="s">
        <v>61</v>
      </c>
      <c r="D85" s="26" t="s">
        <v>12</v>
      </c>
      <c r="E85" s="49">
        <v>67</v>
      </c>
      <c r="F85" s="50">
        <v>8.1</v>
      </c>
      <c r="G85" s="27">
        <f t="shared" si="3"/>
        <v>542.69999999999993</v>
      </c>
      <c r="H85" s="27">
        <f t="shared" si="4"/>
        <v>97.685999999999979</v>
      </c>
      <c r="I85" s="152">
        <f t="shared" si="5"/>
        <v>640.38599999999997</v>
      </c>
    </row>
    <row r="86" spans="2:9" ht="15.75" x14ac:dyDescent="0.25">
      <c r="B86" s="9" t="s">
        <v>13</v>
      </c>
      <c r="C86" s="9" t="s">
        <v>16</v>
      </c>
      <c r="D86" s="26" t="s">
        <v>62</v>
      </c>
      <c r="E86" s="49">
        <v>56</v>
      </c>
      <c r="F86" s="50">
        <v>8.6999999999999993</v>
      </c>
      <c r="G86" s="27">
        <f t="shared" si="3"/>
        <v>487.19999999999993</v>
      </c>
      <c r="H86" s="27">
        <f t="shared" si="4"/>
        <v>87.695999999999984</v>
      </c>
      <c r="I86" s="152">
        <f t="shared" si="5"/>
        <v>574.89599999999996</v>
      </c>
    </row>
    <row r="87" spans="2:9" ht="15.75" x14ac:dyDescent="0.25">
      <c r="B87" s="8" t="s">
        <v>56</v>
      </c>
      <c r="C87" s="8" t="s">
        <v>65</v>
      </c>
      <c r="D87" s="25" t="s">
        <v>64</v>
      </c>
      <c r="E87" s="48">
        <v>17</v>
      </c>
      <c r="F87" s="50">
        <v>16.5</v>
      </c>
      <c r="G87" s="27">
        <f t="shared" si="3"/>
        <v>280.5</v>
      </c>
      <c r="H87" s="27">
        <f t="shared" si="4"/>
        <v>50.489999999999995</v>
      </c>
      <c r="I87" s="152">
        <f t="shared" si="5"/>
        <v>330.99</v>
      </c>
    </row>
    <row r="88" spans="2:9" ht="15.75" x14ac:dyDescent="0.25">
      <c r="B88" s="9" t="s">
        <v>13</v>
      </c>
      <c r="C88" s="9" t="s">
        <v>43</v>
      </c>
      <c r="D88" s="26" t="s">
        <v>62</v>
      </c>
      <c r="E88" s="49">
        <v>6</v>
      </c>
      <c r="F88" s="50">
        <v>7.8</v>
      </c>
      <c r="G88" s="27">
        <f t="shared" si="3"/>
        <v>46.8</v>
      </c>
      <c r="H88" s="27">
        <f t="shared" si="4"/>
        <v>8.4239999999999995</v>
      </c>
      <c r="I88" s="152">
        <f t="shared" si="5"/>
        <v>55.223999999999997</v>
      </c>
    </row>
    <row r="89" spans="2:9" ht="15.75" x14ac:dyDescent="0.25">
      <c r="B89" s="9" t="s">
        <v>13</v>
      </c>
      <c r="C89" s="9" t="s">
        <v>45</v>
      </c>
      <c r="D89" s="26" t="s">
        <v>62</v>
      </c>
      <c r="E89" s="49">
        <v>74</v>
      </c>
      <c r="F89" s="50">
        <v>7.5</v>
      </c>
      <c r="G89" s="27">
        <f t="shared" si="3"/>
        <v>555</v>
      </c>
      <c r="H89" s="27">
        <f t="shared" si="4"/>
        <v>99.899999999999991</v>
      </c>
      <c r="I89" s="152">
        <f t="shared" si="5"/>
        <v>654.9</v>
      </c>
    </row>
    <row r="90" spans="2:9" ht="15.75" x14ac:dyDescent="0.25">
      <c r="B90" s="9" t="s">
        <v>13</v>
      </c>
      <c r="C90" s="9" t="s">
        <v>26</v>
      </c>
      <c r="D90" s="26" t="s">
        <v>62</v>
      </c>
      <c r="E90" s="49">
        <v>89</v>
      </c>
      <c r="F90" s="50">
        <v>6.8</v>
      </c>
      <c r="G90" s="27">
        <f t="shared" si="3"/>
        <v>605.19999999999993</v>
      </c>
      <c r="H90" s="27">
        <f t="shared" si="4"/>
        <v>108.93599999999998</v>
      </c>
      <c r="I90" s="152">
        <f t="shared" si="5"/>
        <v>714.13599999999997</v>
      </c>
    </row>
    <row r="91" spans="2:9" ht="15.75" x14ac:dyDescent="0.25">
      <c r="B91" s="8" t="s">
        <v>66</v>
      </c>
      <c r="C91" s="8" t="s">
        <v>81</v>
      </c>
      <c r="D91" s="25" t="s">
        <v>62</v>
      </c>
      <c r="E91" s="48">
        <v>14</v>
      </c>
      <c r="F91" s="50">
        <v>4.5</v>
      </c>
      <c r="G91" s="27">
        <f t="shared" si="3"/>
        <v>63</v>
      </c>
      <c r="H91" s="27">
        <f t="shared" si="4"/>
        <v>11.34</v>
      </c>
      <c r="I91" s="152">
        <f t="shared" si="5"/>
        <v>74.34</v>
      </c>
    </row>
    <row r="92" spans="2:9" ht="15.75" x14ac:dyDescent="0.25">
      <c r="B92" s="9" t="s">
        <v>13</v>
      </c>
      <c r="C92" s="9" t="s">
        <v>39</v>
      </c>
      <c r="D92" s="26" t="s">
        <v>62</v>
      </c>
      <c r="E92" s="49">
        <v>97</v>
      </c>
      <c r="F92" s="50">
        <v>8.3000000000000007</v>
      </c>
      <c r="G92" s="27">
        <f t="shared" si="3"/>
        <v>805.1</v>
      </c>
      <c r="H92" s="27">
        <f t="shared" si="4"/>
        <v>144.91800000000001</v>
      </c>
      <c r="I92" s="152">
        <f t="shared" si="5"/>
        <v>950.01800000000003</v>
      </c>
    </row>
    <row r="93" spans="2:9" ht="15.75" x14ac:dyDescent="0.25">
      <c r="B93" s="9" t="s">
        <v>9</v>
      </c>
      <c r="C93" s="9" t="s">
        <v>30</v>
      </c>
      <c r="D93" s="26" t="s">
        <v>12</v>
      </c>
      <c r="E93" s="49">
        <v>98</v>
      </c>
      <c r="F93" s="50">
        <v>7.2</v>
      </c>
      <c r="G93" s="27">
        <f t="shared" si="3"/>
        <v>705.6</v>
      </c>
      <c r="H93" s="27">
        <f t="shared" si="4"/>
        <v>127.008</v>
      </c>
      <c r="I93" s="152">
        <f t="shared" si="5"/>
        <v>832.60800000000006</v>
      </c>
    </row>
    <row r="94" spans="2:9" ht="15.75" x14ac:dyDescent="0.25">
      <c r="B94" s="9" t="s">
        <v>9</v>
      </c>
      <c r="C94" s="9" t="s">
        <v>27</v>
      </c>
      <c r="D94" s="26" t="s">
        <v>12</v>
      </c>
      <c r="E94" s="49">
        <v>96</v>
      </c>
      <c r="F94" s="50">
        <v>7.9</v>
      </c>
      <c r="G94" s="27">
        <f t="shared" si="3"/>
        <v>758.40000000000009</v>
      </c>
      <c r="H94" s="27">
        <f t="shared" si="4"/>
        <v>136.512</v>
      </c>
      <c r="I94" s="152">
        <f t="shared" si="5"/>
        <v>894.91200000000003</v>
      </c>
    </row>
    <row r="95" spans="2:9" ht="15.75" x14ac:dyDescent="0.25">
      <c r="B95" s="9" t="s">
        <v>9</v>
      </c>
      <c r="C95" s="9" t="s">
        <v>10</v>
      </c>
      <c r="D95" s="26" t="s">
        <v>12</v>
      </c>
      <c r="E95" s="49">
        <v>98</v>
      </c>
      <c r="F95" s="50">
        <v>4.8</v>
      </c>
      <c r="G95" s="27">
        <f t="shared" si="3"/>
        <v>470.4</v>
      </c>
      <c r="H95" s="27">
        <f t="shared" si="4"/>
        <v>84.671999999999997</v>
      </c>
      <c r="I95" s="152">
        <f t="shared" si="5"/>
        <v>555.072</v>
      </c>
    </row>
    <row r="96" spans="2:9" ht="15.75" x14ac:dyDescent="0.25">
      <c r="B96" s="8" t="s">
        <v>9</v>
      </c>
      <c r="C96" s="8" t="s">
        <v>38</v>
      </c>
      <c r="D96" s="25" t="s">
        <v>12</v>
      </c>
      <c r="E96" s="48">
        <v>74</v>
      </c>
      <c r="F96" s="50">
        <v>5.68</v>
      </c>
      <c r="G96" s="27">
        <f t="shared" si="3"/>
        <v>420.32</v>
      </c>
      <c r="H96" s="27">
        <f t="shared" si="4"/>
        <v>75.657600000000002</v>
      </c>
      <c r="I96" s="152">
        <f t="shared" si="5"/>
        <v>495.9776</v>
      </c>
    </row>
    <row r="97" spans="2:9" ht="15.75" x14ac:dyDescent="0.25">
      <c r="B97" s="9" t="s">
        <v>9</v>
      </c>
      <c r="C97" s="9" t="s">
        <v>20</v>
      </c>
      <c r="D97" s="26" t="s">
        <v>12</v>
      </c>
      <c r="E97" s="49">
        <v>84</v>
      </c>
      <c r="F97" s="50">
        <v>9</v>
      </c>
      <c r="G97" s="27">
        <f t="shared" si="3"/>
        <v>756</v>
      </c>
      <c r="H97" s="27">
        <f t="shared" si="4"/>
        <v>136.07999999999998</v>
      </c>
      <c r="I97" s="152">
        <f t="shared" si="5"/>
        <v>892.07999999999993</v>
      </c>
    </row>
    <row r="98" spans="2:9" ht="15.75" x14ac:dyDescent="0.25">
      <c r="B98" s="9" t="s">
        <v>9</v>
      </c>
      <c r="C98" s="9" t="s">
        <v>17</v>
      </c>
      <c r="D98" s="26" t="s">
        <v>12</v>
      </c>
      <c r="E98" s="49">
        <v>35</v>
      </c>
      <c r="F98" s="50">
        <v>9.27</v>
      </c>
      <c r="G98" s="27">
        <f t="shared" si="3"/>
        <v>324.45</v>
      </c>
      <c r="H98" s="27">
        <f t="shared" si="4"/>
        <v>58.400999999999996</v>
      </c>
      <c r="I98" s="152">
        <f t="shared" si="5"/>
        <v>382.851</v>
      </c>
    </row>
    <row r="99" spans="2:9" ht="15.75" x14ac:dyDescent="0.25">
      <c r="B99" s="8" t="s">
        <v>66</v>
      </c>
      <c r="C99" s="8" t="s">
        <v>81</v>
      </c>
      <c r="D99" s="25" t="s">
        <v>62</v>
      </c>
      <c r="E99" s="48">
        <v>97</v>
      </c>
      <c r="F99" s="50">
        <v>4.5</v>
      </c>
      <c r="G99" s="27">
        <f t="shared" si="3"/>
        <v>436.5</v>
      </c>
      <c r="H99" s="27">
        <f t="shared" si="4"/>
        <v>78.569999999999993</v>
      </c>
      <c r="I99" s="152">
        <f t="shared" si="5"/>
        <v>515.06999999999994</v>
      </c>
    </row>
    <row r="100" spans="2:9" ht="15.75" x14ac:dyDescent="0.25">
      <c r="B100" s="9" t="s">
        <v>9</v>
      </c>
      <c r="C100" s="9" t="s">
        <v>24</v>
      </c>
      <c r="D100" s="26" t="s">
        <v>12</v>
      </c>
      <c r="E100" s="49">
        <v>11</v>
      </c>
      <c r="F100" s="50">
        <v>5.6</v>
      </c>
      <c r="G100" s="27">
        <f t="shared" si="3"/>
        <v>61.599999999999994</v>
      </c>
      <c r="H100" s="27">
        <f t="shared" si="4"/>
        <v>11.087999999999999</v>
      </c>
      <c r="I100" s="152">
        <f t="shared" si="5"/>
        <v>72.687999999999988</v>
      </c>
    </row>
    <row r="101" spans="2:9" ht="15.75" x14ac:dyDescent="0.25">
      <c r="B101" s="9" t="s">
        <v>9</v>
      </c>
      <c r="C101" s="9" t="s">
        <v>22</v>
      </c>
      <c r="D101" s="26" t="s">
        <v>12</v>
      </c>
      <c r="E101" s="49">
        <v>51</v>
      </c>
      <c r="F101" s="50">
        <v>6</v>
      </c>
      <c r="G101" s="27">
        <f t="shared" si="3"/>
        <v>306</v>
      </c>
      <c r="H101" s="27">
        <f t="shared" si="4"/>
        <v>55.08</v>
      </c>
      <c r="I101" s="152">
        <f t="shared" si="5"/>
        <v>361.08</v>
      </c>
    </row>
    <row r="102" spans="2:9" ht="15.75" x14ac:dyDescent="0.25">
      <c r="B102" s="9" t="s">
        <v>9</v>
      </c>
      <c r="C102" s="9" t="s">
        <v>15</v>
      </c>
      <c r="D102" s="26" t="s">
        <v>12</v>
      </c>
      <c r="E102" s="49">
        <v>6</v>
      </c>
      <c r="F102" s="50">
        <v>6.5</v>
      </c>
      <c r="G102" s="27">
        <f t="shared" si="3"/>
        <v>39</v>
      </c>
      <c r="H102" s="27">
        <f t="shared" si="4"/>
        <v>7.02</v>
      </c>
      <c r="I102" s="152">
        <f t="shared" si="5"/>
        <v>46.019999999999996</v>
      </c>
    </row>
    <row r="103" spans="2:9" ht="15.75" x14ac:dyDescent="0.25">
      <c r="B103" s="8" t="s">
        <v>66</v>
      </c>
      <c r="C103" s="8" t="s">
        <v>69</v>
      </c>
      <c r="D103" s="25" t="s">
        <v>64</v>
      </c>
      <c r="E103" s="48">
        <v>50</v>
      </c>
      <c r="F103" s="50">
        <v>7.5</v>
      </c>
      <c r="G103" s="27">
        <f t="shared" si="3"/>
        <v>375</v>
      </c>
      <c r="H103" s="27">
        <f t="shared" si="4"/>
        <v>67.5</v>
      </c>
      <c r="I103" s="152">
        <f t="shared" si="5"/>
        <v>442.5</v>
      </c>
    </row>
    <row r="104" spans="2:9" ht="15.75" x14ac:dyDescent="0.25">
      <c r="B104" s="8" t="s">
        <v>66</v>
      </c>
      <c r="C104" s="8" t="s">
        <v>67</v>
      </c>
      <c r="D104" s="25" t="s">
        <v>68</v>
      </c>
      <c r="E104" s="48">
        <v>90</v>
      </c>
      <c r="F104" s="50">
        <v>15.96</v>
      </c>
      <c r="G104" s="27">
        <f t="shared" si="3"/>
        <v>1436.4</v>
      </c>
      <c r="H104" s="27">
        <f t="shared" si="4"/>
        <v>258.55200000000002</v>
      </c>
      <c r="I104" s="152">
        <f t="shared" si="5"/>
        <v>1694.9520000000002</v>
      </c>
    </row>
    <row r="105" spans="2:9" ht="15.75" x14ac:dyDescent="0.25">
      <c r="B105" s="9" t="s">
        <v>9</v>
      </c>
      <c r="C105" s="9" t="s">
        <v>20</v>
      </c>
      <c r="D105" s="26" t="s">
        <v>12</v>
      </c>
      <c r="E105" s="49">
        <v>29</v>
      </c>
      <c r="F105" s="50">
        <v>9</v>
      </c>
      <c r="G105" s="27">
        <f t="shared" si="3"/>
        <v>261</v>
      </c>
      <c r="H105" s="27">
        <f t="shared" si="4"/>
        <v>46.98</v>
      </c>
      <c r="I105" s="152">
        <f t="shared" si="5"/>
        <v>307.98</v>
      </c>
    </row>
    <row r="106" spans="2:9" ht="15.75" x14ac:dyDescent="0.25">
      <c r="B106" s="8" t="s">
        <v>56</v>
      </c>
      <c r="C106" s="8" t="s">
        <v>87</v>
      </c>
      <c r="D106" s="25" t="s">
        <v>64</v>
      </c>
      <c r="E106" s="48">
        <v>27</v>
      </c>
      <c r="F106" s="50">
        <v>18</v>
      </c>
      <c r="G106" s="27">
        <f t="shared" si="3"/>
        <v>486</v>
      </c>
      <c r="H106" s="27">
        <f t="shared" si="4"/>
        <v>87.47999999999999</v>
      </c>
      <c r="I106" s="152">
        <f t="shared" si="5"/>
        <v>573.48</v>
      </c>
    </row>
  </sheetData>
  <mergeCells count="5">
    <mergeCell ref="K19:K21"/>
    <mergeCell ref="M2:P2"/>
    <mergeCell ref="B3:F3"/>
    <mergeCell ref="K5:K7"/>
    <mergeCell ref="K12:K14"/>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7"/>
  <sheetViews>
    <sheetView showGridLines="0" zoomScale="85" zoomScaleNormal="85" workbookViewId="0">
      <selection activeCell="O39" sqref="O39"/>
    </sheetView>
  </sheetViews>
  <sheetFormatPr baseColWidth="10" defaultColWidth="11.42578125" defaultRowHeight="15" x14ac:dyDescent="0.25"/>
  <cols>
    <col min="1" max="1" width="23.5703125" style="21" bestFit="1" customWidth="1"/>
    <col min="2" max="6" width="4.42578125" customWidth="1"/>
    <col min="7" max="7" width="17" bestFit="1" customWidth="1"/>
    <col min="8" max="8" width="17" customWidth="1"/>
    <col min="9" max="10" width="21.140625" customWidth="1"/>
    <col min="11" max="11" width="14.85546875" bestFit="1" customWidth="1"/>
    <col min="12" max="12" width="2" customWidth="1"/>
    <col min="13" max="13" width="19.28515625" customWidth="1"/>
    <col min="14" max="14" width="13.28515625" customWidth="1"/>
    <col min="15" max="15" width="11.42578125" style="44"/>
    <col min="16" max="16" width="19.5703125" style="44" customWidth="1"/>
    <col min="17" max="17" width="20.140625" customWidth="1"/>
  </cols>
  <sheetData>
    <row r="1" spans="1:21" ht="58.5" customHeight="1" x14ac:dyDescent="0.25">
      <c r="G1" s="15"/>
      <c r="H1" s="15"/>
      <c r="I1" s="15"/>
      <c r="J1" s="15"/>
      <c r="K1" s="15"/>
    </row>
    <row r="2" spans="1:21" ht="13.5" customHeight="1" x14ac:dyDescent="0.25">
      <c r="G2" s="28"/>
      <c r="H2" s="28"/>
      <c r="I2" s="16"/>
      <c r="J2" s="16"/>
      <c r="K2" s="16"/>
    </row>
    <row r="3" spans="1:21" ht="3" customHeight="1" x14ac:dyDescent="0.25">
      <c r="G3" s="5"/>
      <c r="H3" s="5"/>
      <c r="I3" s="2"/>
      <c r="J3" s="1"/>
      <c r="K3" s="1"/>
    </row>
    <row r="4" spans="1:21" ht="44.25" customHeight="1" x14ac:dyDescent="0.25">
      <c r="A4" s="125" t="s">
        <v>88</v>
      </c>
      <c r="B4" s="126"/>
      <c r="C4" s="126"/>
      <c r="D4" s="126"/>
      <c r="E4" s="126"/>
      <c r="F4" s="127"/>
      <c r="G4" s="68" t="s">
        <v>89</v>
      </c>
      <c r="H4" s="68" t="s">
        <v>52</v>
      </c>
      <c r="I4" s="68" t="s">
        <v>90</v>
      </c>
      <c r="J4" s="68" t="s">
        <v>91</v>
      </c>
      <c r="K4" s="68" t="s">
        <v>52</v>
      </c>
      <c r="M4" s="56" t="s">
        <v>92</v>
      </c>
      <c r="O4" s="52"/>
      <c r="P4" s="52"/>
      <c r="Q4" s="52"/>
      <c r="R4" s="52"/>
      <c r="S4" s="52"/>
      <c r="T4" s="52"/>
    </row>
    <row r="5" spans="1:21" ht="87" customHeight="1" x14ac:dyDescent="0.25">
      <c r="A5" s="62" t="s">
        <v>93</v>
      </c>
      <c r="B5" s="61" t="s">
        <v>94</v>
      </c>
      <c r="C5" s="61" t="s">
        <v>95</v>
      </c>
      <c r="D5" s="61" t="s">
        <v>96</v>
      </c>
      <c r="E5" s="61" t="s">
        <v>97</v>
      </c>
      <c r="F5" s="61" t="s">
        <v>98</v>
      </c>
      <c r="G5" s="57" t="s">
        <v>99</v>
      </c>
      <c r="H5" s="54" t="s">
        <v>99</v>
      </c>
      <c r="I5" s="53" t="s">
        <v>100</v>
      </c>
      <c r="J5" s="53" t="s">
        <v>101</v>
      </c>
      <c r="K5" s="53" t="s">
        <v>102</v>
      </c>
      <c r="M5" s="60">
        <v>1</v>
      </c>
      <c r="R5" s="52"/>
      <c r="S5" s="52"/>
      <c r="T5" s="52"/>
      <c r="U5" s="52"/>
    </row>
    <row r="6" spans="1:21" s="3" customFormat="1" ht="12.75" customHeight="1" x14ac:dyDescent="0.25">
      <c r="A6" s="58" t="s">
        <v>103</v>
      </c>
      <c r="B6" s="59">
        <v>8</v>
      </c>
      <c r="C6" s="59">
        <v>15</v>
      </c>
      <c r="D6" s="59">
        <v>17</v>
      </c>
      <c r="E6" s="59">
        <v>19</v>
      </c>
      <c r="F6" s="59">
        <v>15</v>
      </c>
      <c r="G6" s="4">
        <f>AVERAGE(B6:F6)</f>
        <v>14.8</v>
      </c>
      <c r="H6" s="55">
        <f>AVERAGE(B6:G$6)</f>
        <v>14.799999999999999</v>
      </c>
      <c r="I6" s="4">
        <f>INT(H6)</f>
        <v>14</v>
      </c>
      <c r="J6" s="153">
        <f>ROUND(H6,)</f>
        <v>15</v>
      </c>
      <c r="K6" s="154">
        <f>SUM(J6,$M$5)</f>
        <v>16</v>
      </c>
      <c r="L6" s="24"/>
      <c r="O6" s="45"/>
      <c r="P6" s="45"/>
    </row>
    <row r="7" spans="1:21" s="3" customFormat="1" ht="12.75" customHeight="1" x14ac:dyDescent="0.25">
      <c r="A7" s="19" t="s">
        <v>104</v>
      </c>
      <c r="B7" s="4">
        <v>6</v>
      </c>
      <c r="C7" s="4">
        <v>10</v>
      </c>
      <c r="D7" s="4">
        <v>17</v>
      </c>
      <c r="E7" s="4">
        <v>18</v>
      </c>
      <c r="F7" s="4">
        <v>20</v>
      </c>
      <c r="G7" s="4">
        <f t="shared" ref="G7:G55" si="0">AVERAGE(B7:F7)</f>
        <v>14.2</v>
      </c>
      <c r="H7" s="55">
        <f>AVERAGE(B7:F7)</f>
        <v>14.2</v>
      </c>
      <c r="I7" s="20">
        <f>INT(H7)</f>
        <v>14</v>
      </c>
      <c r="J7" s="153">
        <f t="shared" ref="J7:J55" si="1">ROUND(H7,)</f>
        <v>14</v>
      </c>
      <c r="K7" s="154">
        <f t="shared" ref="K7:K55" si="2">SUM(J7,$M$5)</f>
        <v>15</v>
      </c>
      <c r="O7" s="45"/>
      <c r="P7" s="45"/>
    </row>
    <row r="8" spans="1:21" s="3" customFormat="1" ht="12.75" customHeight="1" x14ac:dyDescent="0.25">
      <c r="A8" s="18" t="s">
        <v>105</v>
      </c>
      <c r="B8" s="20">
        <v>15</v>
      </c>
      <c r="C8" s="20">
        <v>6</v>
      </c>
      <c r="D8" s="20">
        <v>14</v>
      </c>
      <c r="E8" s="20">
        <v>15</v>
      </c>
      <c r="F8" s="20">
        <v>14</v>
      </c>
      <c r="G8" s="4">
        <f t="shared" si="0"/>
        <v>12.8</v>
      </c>
      <c r="H8" s="55">
        <f t="shared" ref="H8:H55" si="3">AVERAGE(B8:F8)</f>
        <v>12.8</v>
      </c>
      <c r="I8" s="20">
        <f t="shared" ref="I8:I55" si="4">INT(H8)</f>
        <v>12</v>
      </c>
      <c r="J8" s="153">
        <f t="shared" si="1"/>
        <v>13</v>
      </c>
      <c r="K8" s="154">
        <f t="shared" si="2"/>
        <v>14</v>
      </c>
      <c r="M8" s="128" t="s">
        <v>106</v>
      </c>
      <c r="N8" s="128"/>
      <c r="O8" s="155">
        <f>MAX(K6:K55)</f>
        <v>20</v>
      </c>
      <c r="P8" s="45"/>
    </row>
    <row r="9" spans="1:21" s="3" customFormat="1" ht="12.75" customHeight="1" x14ac:dyDescent="0.25">
      <c r="A9" s="19" t="s">
        <v>107</v>
      </c>
      <c r="B9" s="4">
        <v>18</v>
      </c>
      <c r="C9" s="4">
        <v>11</v>
      </c>
      <c r="D9" s="4">
        <v>7</v>
      </c>
      <c r="E9" s="4">
        <v>19</v>
      </c>
      <c r="F9" s="4">
        <v>19</v>
      </c>
      <c r="G9" s="4">
        <f t="shared" si="0"/>
        <v>14.8</v>
      </c>
      <c r="H9" s="55">
        <f t="shared" si="3"/>
        <v>14.8</v>
      </c>
      <c r="I9" s="20">
        <f t="shared" si="4"/>
        <v>14</v>
      </c>
      <c r="J9" s="153">
        <f t="shared" si="1"/>
        <v>15</v>
      </c>
      <c r="K9" s="154">
        <f t="shared" si="2"/>
        <v>16</v>
      </c>
      <c r="M9" s="128"/>
      <c r="N9" s="128"/>
      <c r="O9" s="130"/>
      <c r="P9" s="45"/>
    </row>
    <row r="10" spans="1:21" s="3" customFormat="1" ht="12.75" customHeight="1" x14ac:dyDescent="0.25">
      <c r="A10" s="18" t="s">
        <v>108</v>
      </c>
      <c r="B10" s="20">
        <v>7</v>
      </c>
      <c r="C10" s="20">
        <v>20</v>
      </c>
      <c r="D10" s="20">
        <v>6</v>
      </c>
      <c r="E10" s="20">
        <v>15</v>
      </c>
      <c r="F10" s="20"/>
      <c r="G10" s="4">
        <f t="shared" si="0"/>
        <v>12</v>
      </c>
      <c r="H10" s="55">
        <f t="shared" si="3"/>
        <v>12</v>
      </c>
      <c r="I10" s="20">
        <f t="shared" si="4"/>
        <v>12</v>
      </c>
      <c r="J10" s="153">
        <f t="shared" si="1"/>
        <v>12</v>
      </c>
      <c r="K10" s="154">
        <f t="shared" si="2"/>
        <v>13</v>
      </c>
      <c r="M10" s="128"/>
      <c r="N10" s="128"/>
      <c r="O10" s="130"/>
      <c r="P10" s="45"/>
    </row>
    <row r="11" spans="1:21" s="3" customFormat="1" ht="12.75" customHeight="1" x14ac:dyDescent="0.25">
      <c r="A11" s="19" t="s">
        <v>109</v>
      </c>
      <c r="B11" s="4">
        <v>17</v>
      </c>
      <c r="C11" s="4">
        <v>13</v>
      </c>
      <c r="D11" s="4">
        <v>19</v>
      </c>
      <c r="E11" s="4">
        <v>16</v>
      </c>
      <c r="F11" s="4">
        <v>16</v>
      </c>
      <c r="G11" s="4">
        <f t="shared" si="0"/>
        <v>16.2</v>
      </c>
      <c r="H11" s="55">
        <f t="shared" si="3"/>
        <v>16.2</v>
      </c>
      <c r="I11" s="20">
        <f t="shared" si="4"/>
        <v>16</v>
      </c>
      <c r="J11" s="153">
        <f t="shared" si="1"/>
        <v>16</v>
      </c>
      <c r="K11" s="154">
        <f t="shared" si="2"/>
        <v>17</v>
      </c>
      <c r="M11" s="129"/>
      <c r="N11" s="129"/>
      <c r="O11" s="130"/>
      <c r="P11" s="45"/>
    </row>
    <row r="12" spans="1:21" s="3" customFormat="1" ht="12.75" customHeight="1" x14ac:dyDescent="0.25">
      <c r="A12" s="18" t="s">
        <v>110</v>
      </c>
      <c r="B12" s="20">
        <v>5</v>
      </c>
      <c r="C12" s="20">
        <v>12</v>
      </c>
      <c r="D12" s="20">
        <v>13</v>
      </c>
      <c r="E12" s="20">
        <v>15</v>
      </c>
      <c r="F12" s="20">
        <v>16</v>
      </c>
      <c r="G12" s="4">
        <f t="shared" si="0"/>
        <v>12.2</v>
      </c>
      <c r="H12" s="55">
        <f t="shared" si="3"/>
        <v>12.2</v>
      </c>
      <c r="I12" s="20">
        <f t="shared" si="4"/>
        <v>12</v>
      </c>
      <c r="J12" s="153">
        <f t="shared" si="1"/>
        <v>12</v>
      </c>
      <c r="K12" s="154">
        <f t="shared" si="2"/>
        <v>13</v>
      </c>
      <c r="O12" s="45"/>
      <c r="P12" s="45"/>
    </row>
    <row r="13" spans="1:21" s="3" customFormat="1" ht="12.75" customHeight="1" x14ac:dyDescent="0.25">
      <c r="A13" s="19" t="s">
        <v>111</v>
      </c>
      <c r="B13" s="4">
        <v>19</v>
      </c>
      <c r="C13" s="4">
        <v>16</v>
      </c>
      <c r="D13" s="4">
        <v>13</v>
      </c>
      <c r="E13" s="4">
        <v>19</v>
      </c>
      <c r="F13" s="4">
        <v>11</v>
      </c>
      <c r="G13" s="4">
        <f t="shared" si="0"/>
        <v>15.6</v>
      </c>
      <c r="H13" s="55">
        <f t="shared" si="3"/>
        <v>15.6</v>
      </c>
      <c r="I13" s="20">
        <f t="shared" si="4"/>
        <v>15</v>
      </c>
      <c r="J13" s="153">
        <f t="shared" si="1"/>
        <v>16</v>
      </c>
      <c r="K13" s="154">
        <f t="shared" si="2"/>
        <v>17</v>
      </c>
      <c r="O13" s="45"/>
      <c r="P13" s="45"/>
    </row>
    <row r="14" spans="1:21" s="3" customFormat="1" ht="12.75" customHeight="1" x14ac:dyDescent="0.25">
      <c r="A14" s="18" t="s">
        <v>112</v>
      </c>
      <c r="B14" s="20">
        <v>14</v>
      </c>
      <c r="C14" s="20">
        <v>9</v>
      </c>
      <c r="D14" s="20">
        <v>13</v>
      </c>
      <c r="E14" s="20">
        <v>16</v>
      </c>
      <c r="F14" s="20">
        <v>14</v>
      </c>
      <c r="G14" s="4">
        <f t="shared" si="0"/>
        <v>13.2</v>
      </c>
      <c r="H14" s="55">
        <f t="shared" si="3"/>
        <v>13.2</v>
      </c>
      <c r="I14" s="20">
        <f t="shared" si="4"/>
        <v>13</v>
      </c>
      <c r="J14" s="153">
        <f t="shared" si="1"/>
        <v>13</v>
      </c>
      <c r="K14" s="154">
        <f t="shared" si="2"/>
        <v>14</v>
      </c>
      <c r="O14" s="45"/>
      <c r="P14" s="45"/>
    </row>
    <row r="15" spans="1:21" s="3" customFormat="1" ht="12.75" customHeight="1" x14ac:dyDescent="0.25">
      <c r="A15" s="19" t="s">
        <v>113</v>
      </c>
      <c r="B15" s="4">
        <v>9</v>
      </c>
      <c r="C15" s="4">
        <v>11</v>
      </c>
      <c r="D15" s="4">
        <v>7</v>
      </c>
      <c r="E15" s="4">
        <v>20</v>
      </c>
      <c r="F15" s="4">
        <v>19</v>
      </c>
      <c r="G15" s="4">
        <f t="shared" si="0"/>
        <v>13.2</v>
      </c>
      <c r="H15" s="55">
        <f t="shared" si="3"/>
        <v>13.2</v>
      </c>
      <c r="I15" s="20">
        <f t="shared" si="4"/>
        <v>13</v>
      </c>
      <c r="J15" s="153">
        <f t="shared" si="1"/>
        <v>13</v>
      </c>
      <c r="K15" s="154">
        <f t="shared" si="2"/>
        <v>14</v>
      </c>
      <c r="O15" s="45"/>
      <c r="P15" s="45"/>
    </row>
    <row r="16" spans="1:21" s="3" customFormat="1" ht="12.75" customHeight="1" x14ac:dyDescent="0.25">
      <c r="A16" s="18" t="s">
        <v>114</v>
      </c>
      <c r="B16" s="20">
        <v>10</v>
      </c>
      <c r="C16" s="20">
        <v>17</v>
      </c>
      <c r="D16" s="20">
        <v>18</v>
      </c>
      <c r="E16" s="20">
        <v>17</v>
      </c>
      <c r="F16" s="20"/>
      <c r="G16" s="4">
        <f t="shared" si="0"/>
        <v>15.5</v>
      </c>
      <c r="H16" s="55">
        <f t="shared" si="3"/>
        <v>15.5</v>
      </c>
      <c r="I16" s="20">
        <f t="shared" si="4"/>
        <v>15</v>
      </c>
      <c r="J16" s="153">
        <f t="shared" si="1"/>
        <v>16</v>
      </c>
      <c r="K16" s="154">
        <f t="shared" si="2"/>
        <v>17</v>
      </c>
      <c r="O16" s="45"/>
      <c r="P16" s="45"/>
    </row>
    <row r="17" spans="1:16" s="3" customFormat="1" ht="12.75" customHeight="1" x14ac:dyDescent="0.25">
      <c r="A17" s="19" t="s">
        <v>114</v>
      </c>
      <c r="B17" s="4">
        <v>17</v>
      </c>
      <c r="C17" s="4">
        <v>13</v>
      </c>
      <c r="D17" s="4">
        <v>8</v>
      </c>
      <c r="E17" s="4">
        <v>19</v>
      </c>
      <c r="F17" s="4">
        <v>15</v>
      </c>
      <c r="G17" s="4">
        <f t="shared" si="0"/>
        <v>14.4</v>
      </c>
      <c r="H17" s="55">
        <f t="shared" si="3"/>
        <v>14.4</v>
      </c>
      <c r="I17" s="20">
        <f t="shared" si="4"/>
        <v>14</v>
      </c>
      <c r="J17" s="153">
        <f t="shared" si="1"/>
        <v>14</v>
      </c>
      <c r="K17" s="154">
        <f t="shared" si="2"/>
        <v>15</v>
      </c>
      <c r="M17" s="128" t="s">
        <v>115</v>
      </c>
      <c r="N17" s="128"/>
      <c r="O17" s="155">
        <f>MIN(J6:J55)</f>
        <v>11</v>
      </c>
      <c r="P17" s="45"/>
    </row>
    <row r="18" spans="1:16" s="3" customFormat="1" ht="12.75" customHeight="1" x14ac:dyDescent="0.25">
      <c r="A18" s="18" t="s">
        <v>116</v>
      </c>
      <c r="B18" s="20">
        <v>10</v>
      </c>
      <c r="C18" s="20">
        <v>13</v>
      </c>
      <c r="D18" s="20">
        <v>17</v>
      </c>
      <c r="E18" s="20">
        <v>20</v>
      </c>
      <c r="F18" s="20">
        <v>12</v>
      </c>
      <c r="G18" s="4">
        <f t="shared" si="0"/>
        <v>14.4</v>
      </c>
      <c r="H18" s="55">
        <f t="shared" si="3"/>
        <v>14.4</v>
      </c>
      <c r="I18" s="20">
        <f t="shared" si="4"/>
        <v>14</v>
      </c>
      <c r="J18" s="153">
        <f t="shared" si="1"/>
        <v>14</v>
      </c>
      <c r="K18" s="154">
        <f t="shared" si="2"/>
        <v>15</v>
      </c>
      <c r="M18" s="128"/>
      <c r="N18" s="128"/>
      <c r="O18" s="155"/>
      <c r="P18" s="45"/>
    </row>
    <row r="19" spans="1:16" s="3" customFormat="1" ht="12.75" customHeight="1" x14ac:dyDescent="0.25">
      <c r="A19" s="19" t="s">
        <v>117</v>
      </c>
      <c r="B19" s="4">
        <v>15</v>
      </c>
      <c r="C19" s="4">
        <v>6</v>
      </c>
      <c r="D19" s="4">
        <v>17</v>
      </c>
      <c r="E19" s="4">
        <v>19</v>
      </c>
      <c r="F19" s="4">
        <v>11</v>
      </c>
      <c r="G19" s="4">
        <f t="shared" si="0"/>
        <v>13.6</v>
      </c>
      <c r="H19" s="55">
        <f t="shared" si="3"/>
        <v>13.6</v>
      </c>
      <c r="I19" s="20">
        <f t="shared" si="4"/>
        <v>13</v>
      </c>
      <c r="J19" s="153">
        <f t="shared" si="1"/>
        <v>14</v>
      </c>
      <c r="K19" s="154">
        <f t="shared" si="2"/>
        <v>15</v>
      </c>
      <c r="M19" s="128"/>
      <c r="N19" s="128"/>
      <c r="O19" s="155"/>
      <c r="P19" s="45"/>
    </row>
    <row r="20" spans="1:16" s="3" customFormat="1" ht="12.75" customHeight="1" x14ac:dyDescent="0.25">
      <c r="A20" s="18" t="s">
        <v>118</v>
      </c>
      <c r="B20" s="20">
        <v>15</v>
      </c>
      <c r="C20" s="20">
        <v>19</v>
      </c>
      <c r="D20" s="20">
        <v>10</v>
      </c>
      <c r="E20" s="20">
        <v>20</v>
      </c>
      <c r="F20" s="20">
        <v>11</v>
      </c>
      <c r="G20" s="4">
        <f t="shared" si="0"/>
        <v>15</v>
      </c>
      <c r="H20" s="55">
        <f t="shared" si="3"/>
        <v>15</v>
      </c>
      <c r="I20" s="20">
        <f t="shared" si="4"/>
        <v>15</v>
      </c>
      <c r="J20" s="153">
        <f t="shared" si="1"/>
        <v>15</v>
      </c>
      <c r="K20" s="154">
        <f t="shared" si="2"/>
        <v>16</v>
      </c>
      <c r="M20" s="129"/>
      <c r="N20" s="129"/>
      <c r="O20" s="155"/>
      <c r="P20" s="45"/>
    </row>
    <row r="21" spans="1:16" s="3" customFormat="1" ht="12.75" customHeight="1" x14ac:dyDescent="0.25">
      <c r="A21" s="19" t="s">
        <v>119</v>
      </c>
      <c r="B21" s="4">
        <v>5</v>
      </c>
      <c r="C21" s="4">
        <v>12</v>
      </c>
      <c r="D21" s="4">
        <v>9</v>
      </c>
      <c r="E21" s="4">
        <v>17</v>
      </c>
      <c r="F21" s="4">
        <v>11</v>
      </c>
      <c r="G21" s="4">
        <f t="shared" si="0"/>
        <v>10.8</v>
      </c>
      <c r="H21" s="55">
        <f t="shared" si="3"/>
        <v>10.8</v>
      </c>
      <c r="I21" s="20">
        <f t="shared" si="4"/>
        <v>10</v>
      </c>
      <c r="J21" s="153">
        <f t="shared" si="1"/>
        <v>11</v>
      </c>
      <c r="K21" s="154">
        <f t="shared" si="2"/>
        <v>12</v>
      </c>
      <c r="O21" s="45"/>
      <c r="P21" s="45"/>
    </row>
    <row r="22" spans="1:16" s="3" customFormat="1" ht="12.75" customHeight="1" x14ac:dyDescent="0.25">
      <c r="A22" s="18" t="s">
        <v>120</v>
      </c>
      <c r="B22" s="20">
        <v>5</v>
      </c>
      <c r="C22" s="20">
        <v>6</v>
      </c>
      <c r="D22" s="20">
        <v>16</v>
      </c>
      <c r="E22" s="20">
        <v>19</v>
      </c>
      <c r="F22" s="20"/>
      <c r="G22" s="4">
        <f t="shared" si="0"/>
        <v>11.5</v>
      </c>
      <c r="H22" s="55">
        <f t="shared" si="3"/>
        <v>11.5</v>
      </c>
      <c r="I22" s="20">
        <f t="shared" si="4"/>
        <v>11</v>
      </c>
      <c r="J22" s="153">
        <f t="shared" si="1"/>
        <v>12</v>
      </c>
      <c r="K22" s="154">
        <f t="shared" si="2"/>
        <v>13</v>
      </c>
      <c r="O22" s="45"/>
      <c r="P22" s="45"/>
    </row>
    <row r="23" spans="1:16" s="3" customFormat="1" ht="12.75" customHeight="1" x14ac:dyDescent="0.25">
      <c r="A23" s="19" t="s">
        <v>121</v>
      </c>
      <c r="B23" s="4">
        <v>11</v>
      </c>
      <c r="C23" s="4">
        <v>14</v>
      </c>
      <c r="D23" s="4">
        <v>9</v>
      </c>
      <c r="E23" s="4">
        <v>15</v>
      </c>
      <c r="F23" s="4">
        <v>16</v>
      </c>
      <c r="G23" s="4">
        <f t="shared" si="0"/>
        <v>13</v>
      </c>
      <c r="H23" s="55">
        <f t="shared" si="3"/>
        <v>13</v>
      </c>
      <c r="I23" s="20">
        <f t="shared" si="4"/>
        <v>13</v>
      </c>
      <c r="J23" s="153">
        <f t="shared" si="1"/>
        <v>13</v>
      </c>
      <c r="K23" s="154">
        <f t="shared" si="2"/>
        <v>14</v>
      </c>
      <c r="O23" s="45"/>
      <c r="P23" s="45"/>
    </row>
    <row r="24" spans="1:16" s="3" customFormat="1" ht="12.75" customHeight="1" x14ac:dyDescent="0.25">
      <c r="A24" s="18" t="s">
        <v>122</v>
      </c>
      <c r="B24" s="20">
        <v>18</v>
      </c>
      <c r="C24" s="20">
        <v>19</v>
      </c>
      <c r="D24" s="20">
        <v>17</v>
      </c>
      <c r="E24" s="20">
        <v>20</v>
      </c>
      <c r="F24" s="20">
        <v>19</v>
      </c>
      <c r="G24" s="4">
        <f t="shared" si="0"/>
        <v>18.600000000000001</v>
      </c>
      <c r="H24" s="55">
        <f t="shared" si="3"/>
        <v>18.600000000000001</v>
      </c>
      <c r="I24" s="20">
        <f t="shared" si="4"/>
        <v>18</v>
      </c>
      <c r="J24" s="153">
        <f t="shared" si="1"/>
        <v>19</v>
      </c>
      <c r="K24" s="154">
        <f t="shared" si="2"/>
        <v>20</v>
      </c>
      <c r="O24" s="45"/>
      <c r="P24" s="45"/>
    </row>
    <row r="25" spans="1:16" s="3" customFormat="1" ht="12.75" customHeight="1" x14ac:dyDescent="0.25">
      <c r="A25" s="19" t="s">
        <v>123</v>
      </c>
      <c r="B25" s="4">
        <v>5</v>
      </c>
      <c r="C25" s="4">
        <v>18</v>
      </c>
      <c r="D25" s="4">
        <v>6</v>
      </c>
      <c r="E25" s="4">
        <v>17</v>
      </c>
      <c r="F25" s="4">
        <v>14</v>
      </c>
      <c r="G25" s="4">
        <f t="shared" si="0"/>
        <v>12</v>
      </c>
      <c r="H25" s="55">
        <f t="shared" si="3"/>
        <v>12</v>
      </c>
      <c r="I25" s="20">
        <f t="shared" si="4"/>
        <v>12</v>
      </c>
      <c r="J25" s="153">
        <f t="shared" si="1"/>
        <v>12</v>
      </c>
      <c r="K25" s="154">
        <f t="shared" si="2"/>
        <v>13</v>
      </c>
      <c r="O25" s="45"/>
      <c r="P25" s="45"/>
    </row>
    <row r="26" spans="1:16" s="3" customFormat="1" ht="12.75" customHeight="1" x14ac:dyDescent="0.25">
      <c r="A26" s="18" t="s">
        <v>124</v>
      </c>
      <c r="B26" s="20">
        <v>14</v>
      </c>
      <c r="C26" s="20">
        <v>19</v>
      </c>
      <c r="D26" s="20">
        <v>6</v>
      </c>
      <c r="E26" s="20">
        <v>19</v>
      </c>
      <c r="F26" s="20">
        <v>15</v>
      </c>
      <c r="G26" s="4">
        <f t="shared" si="0"/>
        <v>14.6</v>
      </c>
      <c r="H26" s="55">
        <f t="shared" si="3"/>
        <v>14.6</v>
      </c>
      <c r="I26" s="20">
        <f t="shared" si="4"/>
        <v>14</v>
      </c>
      <c r="J26" s="153">
        <f t="shared" si="1"/>
        <v>15</v>
      </c>
      <c r="K26" s="154">
        <f t="shared" si="2"/>
        <v>16</v>
      </c>
      <c r="M26" s="131" t="s">
        <v>125</v>
      </c>
      <c r="N26" s="131"/>
      <c r="O26" s="130">
        <f>COUNT(B6:B55)</f>
        <v>50</v>
      </c>
      <c r="P26" s="45"/>
    </row>
    <row r="27" spans="1:16" s="3" customFormat="1" ht="12.75" customHeight="1" x14ac:dyDescent="0.25">
      <c r="A27" s="19" t="s">
        <v>126</v>
      </c>
      <c r="B27" s="4">
        <v>9</v>
      </c>
      <c r="C27" s="4">
        <v>13</v>
      </c>
      <c r="D27" s="4">
        <v>13</v>
      </c>
      <c r="E27" s="4">
        <v>16</v>
      </c>
      <c r="F27" s="4">
        <v>14</v>
      </c>
      <c r="G27" s="4">
        <f t="shared" si="0"/>
        <v>13</v>
      </c>
      <c r="H27" s="55">
        <f t="shared" si="3"/>
        <v>13</v>
      </c>
      <c r="I27" s="20">
        <f t="shared" si="4"/>
        <v>13</v>
      </c>
      <c r="J27" s="153">
        <f t="shared" si="1"/>
        <v>13</v>
      </c>
      <c r="K27" s="154">
        <f t="shared" si="2"/>
        <v>14</v>
      </c>
      <c r="M27" s="128"/>
      <c r="N27" s="128"/>
      <c r="O27" s="130"/>
      <c r="P27" s="45"/>
    </row>
    <row r="28" spans="1:16" s="3" customFormat="1" ht="12.75" customHeight="1" x14ac:dyDescent="0.25">
      <c r="A28" s="18" t="s">
        <v>127</v>
      </c>
      <c r="B28" s="20">
        <v>5</v>
      </c>
      <c r="C28" s="20">
        <v>19</v>
      </c>
      <c r="D28" s="20">
        <v>15</v>
      </c>
      <c r="E28" s="20">
        <v>17</v>
      </c>
      <c r="F28" s="20">
        <v>15</v>
      </c>
      <c r="G28" s="4">
        <f t="shared" si="0"/>
        <v>14.2</v>
      </c>
      <c r="H28" s="55">
        <f t="shared" si="3"/>
        <v>14.2</v>
      </c>
      <c r="I28" s="20">
        <f t="shared" si="4"/>
        <v>14</v>
      </c>
      <c r="J28" s="153">
        <f t="shared" si="1"/>
        <v>14</v>
      </c>
      <c r="K28" s="154">
        <f t="shared" si="2"/>
        <v>15</v>
      </c>
      <c r="M28" s="128"/>
      <c r="N28" s="128"/>
      <c r="O28" s="130"/>
      <c r="P28" s="45"/>
    </row>
    <row r="29" spans="1:16" s="3" customFormat="1" ht="12.75" customHeight="1" x14ac:dyDescent="0.25">
      <c r="A29" s="19" t="s">
        <v>128</v>
      </c>
      <c r="B29" s="4">
        <v>11</v>
      </c>
      <c r="C29" s="4">
        <v>20</v>
      </c>
      <c r="D29" s="4">
        <v>8</v>
      </c>
      <c r="E29" s="4">
        <v>16</v>
      </c>
      <c r="F29" s="4"/>
      <c r="G29" s="4">
        <f t="shared" si="0"/>
        <v>13.75</v>
      </c>
      <c r="H29" s="55">
        <f t="shared" si="3"/>
        <v>13.75</v>
      </c>
      <c r="I29" s="20">
        <f t="shared" si="4"/>
        <v>13</v>
      </c>
      <c r="J29" s="153">
        <f t="shared" si="1"/>
        <v>14</v>
      </c>
      <c r="K29" s="154">
        <f t="shared" si="2"/>
        <v>15</v>
      </c>
      <c r="M29" s="129"/>
      <c r="N29" s="129"/>
      <c r="O29" s="130"/>
      <c r="P29" s="45"/>
    </row>
    <row r="30" spans="1:16" s="3" customFormat="1" ht="12.75" customHeight="1" x14ac:dyDescent="0.25">
      <c r="A30" s="18" t="s">
        <v>129</v>
      </c>
      <c r="B30" s="20">
        <v>6</v>
      </c>
      <c r="C30" s="20">
        <v>20</v>
      </c>
      <c r="D30" s="20">
        <v>16</v>
      </c>
      <c r="E30" s="20">
        <v>18</v>
      </c>
      <c r="F30" s="20">
        <v>13</v>
      </c>
      <c r="G30" s="4">
        <f t="shared" si="0"/>
        <v>14.6</v>
      </c>
      <c r="H30" s="55">
        <f t="shared" si="3"/>
        <v>14.6</v>
      </c>
      <c r="I30" s="20">
        <f t="shared" si="4"/>
        <v>14</v>
      </c>
      <c r="J30" s="153">
        <f t="shared" si="1"/>
        <v>15</v>
      </c>
      <c r="K30" s="154">
        <f t="shared" si="2"/>
        <v>16</v>
      </c>
      <c r="O30" s="45"/>
      <c r="P30" s="45"/>
    </row>
    <row r="31" spans="1:16" s="3" customFormat="1" ht="12.75" customHeight="1" x14ac:dyDescent="0.25">
      <c r="A31" s="19" t="s">
        <v>130</v>
      </c>
      <c r="B31" s="4">
        <v>11</v>
      </c>
      <c r="C31" s="4">
        <v>18</v>
      </c>
      <c r="D31" s="4">
        <v>7</v>
      </c>
      <c r="E31" s="4">
        <v>19</v>
      </c>
      <c r="F31" s="4">
        <v>12</v>
      </c>
      <c r="G31" s="4">
        <f t="shared" si="0"/>
        <v>13.4</v>
      </c>
      <c r="H31" s="55">
        <f t="shared" si="3"/>
        <v>13.4</v>
      </c>
      <c r="I31" s="20">
        <f t="shared" si="4"/>
        <v>13</v>
      </c>
      <c r="J31" s="153">
        <f t="shared" si="1"/>
        <v>13</v>
      </c>
      <c r="K31" s="154">
        <f t="shared" si="2"/>
        <v>14</v>
      </c>
      <c r="O31" s="45"/>
      <c r="P31" s="45"/>
    </row>
    <row r="32" spans="1:16" s="3" customFormat="1" ht="12.75" customHeight="1" x14ac:dyDescent="0.25">
      <c r="A32" s="18" t="s">
        <v>131</v>
      </c>
      <c r="B32" s="20">
        <v>18</v>
      </c>
      <c r="C32" s="20">
        <v>20</v>
      </c>
      <c r="D32" s="20">
        <v>19</v>
      </c>
      <c r="E32" s="20">
        <v>18</v>
      </c>
      <c r="F32" s="20">
        <v>13</v>
      </c>
      <c r="G32" s="4">
        <f t="shared" si="0"/>
        <v>17.600000000000001</v>
      </c>
      <c r="H32" s="55">
        <f t="shared" si="3"/>
        <v>17.600000000000001</v>
      </c>
      <c r="I32" s="20">
        <f t="shared" si="4"/>
        <v>17</v>
      </c>
      <c r="J32" s="153">
        <f t="shared" si="1"/>
        <v>18</v>
      </c>
      <c r="K32" s="154">
        <f t="shared" si="2"/>
        <v>19</v>
      </c>
      <c r="O32" s="45"/>
      <c r="P32" s="45"/>
    </row>
    <row r="33" spans="1:16" s="3" customFormat="1" ht="12.75" customHeight="1" x14ac:dyDescent="0.25">
      <c r="A33" s="19" t="s">
        <v>132</v>
      </c>
      <c r="B33" s="4">
        <v>10</v>
      </c>
      <c r="C33" s="4">
        <v>20</v>
      </c>
      <c r="D33" s="4">
        <v>7</v>
      </c>
      <c r="E33" s="4">
        <v>17</v>
      </c>
      <c r="F33" s="4"/>
      <c r="G33" s="4">
        <f t="shared" si="0"/>
        <v>13.5</v>
      </c>
      <c r="H33" s="55">
        <f t="shared" si="3"/>
        <v>13.5</v>
      </c>
      <c r="I33" s="20">
        <f t="shared" si="4"/>
        <v>13</v>
      </c>
      <c r="J33" s="153">
        <f t="shared" si="1"/>
        <v>14</v>
      </c>
      <c r="K33" s="154">
        <f t="shared" si="2"/>
        <v>15</v>
      </c>
      <c r="O33" s="45"/>
      <c r="P33" s="45"/>
    </row>
    <row r="34" spans="1:16" s="3" customFormat="1" ht="12.75" customHeight="1" x14ac:dyDescent="0.25">
      <c r="A34" s="18" t="s">
        <v>133</v>
      </c>
      <c r="B34" s="20">
        <v>7</v>
      </c>
      <c r="C34" s="20">
        <v>15</v>
      </c>
      <c r="D34" s="20">
        <v>10</v>
      </c>
      <c r="E34" s="20">
        <v>20</v>
      </c>
      <c r="F34" s="20">
        <v>19</v>
      </c>
      <c r="G34" s="4">
        <f t="shared" si="0"/>
        <v>14.2</v>
      </c>
      <c r="H34" s="55">
        <f t="shared" si="3"/>
        <v>14.2</v>
      </c>
      <c r="I34" s="20">
        <f t="shared" si="4"/>
        <v>14</v>
      </c>
      <c r="J34" s="153">
        <f t="shared" si="1"/>
        <v>14</v>
      </c>
      <c r="K34" s="154">
        <f t="shared" si="2"/>
        <v>15</v>
      </c>
      <c r="O34" s="45"/>
      <c r="P34" s="45"/>
    </row>
    <row r="35" spans="1:16" s="3" customFormat="1" ht="12.75" customHeight="1" x14ac:dyDescent="0.25">
      <c r="A35" s="19" t="s">
        <v>134</v>
      </c>
      <c r="B35" s="4">
        <v>16</v>
      </c>
      <c r="C35" s="4">
        <v>17</v>
      </c>
      <c r="D35" s="4">
        <v>11</v>
      </c>
      <c r="E35" s="4">
        <v>16</v>
      </c>
      <c r="F35" s="4">
        <v>20</v>
      </c>
      <c r="G35" s="4">
        <f t="shared" si="0"/>
        <v>16</v>
      </c>
      <c r="H35" s="55">
        <f t="shared" si="3"/>
        <v>16</v>
      </c>
      <c r="I35" s="20">
        <f t="shared" si="4"/>
        <v>16</v>
      </c>
      <c r="J35" s="153">
        <f t="shared" si="1"/>
        <v>16</v>
      </c>
      <c r="K35" s="154">
        <f t="shared" si="2"/>
        <v>17</v>
      </c>
      <c r="M35" s="131" t="s">
        <v>135</v>
      </c>
      <c r="N35" s="131"/>
      <c r="O35" s="130">
        <f>COUNTBLANK(F6:F55)</f>
        <v>8</v>
      </c>
      <c r="P35" s="45"/>
    </row>
    <row r="36" spans="1:16" s="3" customFormat="1" ht="12.75" customHeight="1" x14ac:dyDescent="0.25">
      <c r="A36" s="18" t="s">
        <v>136</v>
      </c>
      <c r="B36" s="20">
        <v>12</v>
      </c>
      <c r="C36" s="20">
        <v>11</v>
      </c>
      <c r="D36" s="20">
        <v>13</v>
      </c>
      <c r="E36" s="20">
        <v>19</v>
      </c>
      <c r="F36" s="20">
        <v>12</v>
      </c>
      <c r="G36" s="4">
        <f t="shared" si="0"/>
        <v>13.4</v>
      </c>
      <c r="H36" s="55">
        <f t="shared" si="3"/>
        <v>13.4</v>
      </c>
      <c r="I36" s="20">
        <f t="shared" si="4"/>
        <v>13</v>
      </c>
      <c r="J36" s="153">
        <f t="shared" si="1"/>
        <v>13</v>
      </c>
      <c r="K36" s="154">
        <f t="shared" si="2"/>
        <v>14</v>
      </c>
      <c r="M36" s="128"/>
      <c r="N36" s="128"/>
      <c r="O36" s="130"/>
      <c r="P36" s="45"/>
    </row>
    <row r="37" spans="1:16" s="3" customFormat="1" ht="12.75" customHeight="1" x14ac:dyDescent="0.25">
      <c r="A37" s="19" t="s">
        <v>136</v>
      </c>
      <c r="B37" s="4">
        <v>20</v>
      </c>
      <c r="C37" s="4">
        <v>10</v>
      </c>
      <c r="D37" s="4">
        <v>11</v>
      </c>
      <c r="E37" s="4">
        <v>17</v>
      </c>
      <c r="F37" s="4">
        <v>17</v>
      </c>
      <c r="G37" s="4">
        <f t="shared" si="0"/>
        <v>15</v>
      </c>
      <c r="H37" s="55">
        <f t="shared" si="3"/>
        <v>15</v>
      </c>
      <c r="I37" s="20">
        <f t="shared" si="4"/>
        <v>15</v>
      </c>
      <c r="J37" s="153">
        <f t="shared" si="1"/>
        <v>15</v>
      </c>
      <c r="K37" s="154">
        <f t="shared" si="2"/>
        <v>16</v>
      </c>
      <c r="M37" s="128"/>
      <c r="N37" s="128"/>
      <c r="O37" s="130"/>
      <c r="P37" s="45"/>
    </row>
    <row r="38" spans="1:16" s="3" customFormat="1" ht="12.75" customHeight="1" x14ac:dyDescent="0.25">
      <c r="A38" s="18" t="s">
        <v>137</v>
      </c>
      <c r="B38" s="20">
        <v>19</v>
      </c>
      <c r="C38" s="20">
        <v>15</v>
      </c>
      <c r="D38" s="20">
        <v>7</v>
      </c>
      <c r="E38" s="20">
        <v>19</v>
      </c>
      <c r="F38" s="20">
        <v>17</v>
      </c>
      <c r="G38" s="4">
        <f t="shared" si="0"/>
        <v>15.4</v>
      </c>
      <c r="H38" s="55">
        <f t="shared" si="3"/>
        <v>15.4</v>
      </c>
      <c r="I38" s="20">
        <f t="shared" si="4"/>
        <v>15</v>
      </c>
      <c r="J38" s="153">
        <f t="shared" si="1"/>
        <v>15</v>
      </c>
      <c r="K38" s="154">
        <f t="shared" si="2"/>
        <v>16</v>
      </c>
      <c r="M38" s="129"/>
      <c r="N38" s="129"/>
      <c r="O38" s="130"/>
      <c r="P38" s="45"/>
    </row>
    <row r="39" spans="1:16" s="3" customFormat="1" ht="12.75" customHeight="1" x14ac:dyDescent="0.25">
      <c r="A39" s="19" t="s">
        <v>138</v>
      </c>
      <c r="B39" s="4">
        <v>8</v>
      </c>
      <c r="C39" s="4">
        <v>6</v>
      </c>
      <c r="D39" s="4">
        <v>9</v>
      </c>
      <c r="E39" s="4">
        <v>19</v>
      </c>
      <c r="F39" s="4">
        <v>16</v>
      </c>
      <c r="G39" s="4">
        <f t="shared" si="0"/>
        <v>11.6</v>
      </c>
      <c r="H39" s="55">
        <f t="shared" si="3"/>
        <v>11.6</v>
      </c>
      <c r="I39" s="20">
        <f t="shared" si="4"/>
        <v>11</v>
      </c>
      <c r="J39" s="153">
        <f t="shared" si="1"/>
        <v>12</v>
      </c>
      <c r="K39" s="154">
        <f t="shared" si="2"/>
        <v>13</v>
      </c>
      <c r="O39" s="45"/>
      <c r="P39" s="45"/>
    </row>
    <row r="40" spans="1:16" s="3" customFormat="1" ht="12.75" customHeight="1" x14ac:dyDescent="0.25">
      <c r="A40" s="18" t="s">
        <v>139</v>
      </c>
      <c r="B40" s="20">
        <v>8</v>
      </c>
      <c r="C40" s="20">
        <v>10</v>
      </c>
      <c r="D40" s="20">
        <v>8</v>
      </c>
      <c r="E40" s="20">
        <v>20</v>
      </c>
      <c r="F40" s="20"/>
      <c r="G40" s="4">
        <f t="shared" si="0"/>
        <v>11.5</v>
      </c>
      <c r="H40" s="55">
        <f t="shared" si="3"/>
        <v>11.5</v>
      </c>
      <c r="I40" s="20">
        <f t="shared" si="4"/>
        <v>11</v>
      </c>
      <c r="J40" s="153">
        <f t="shared" si="1"/>
        <v>12</v>
      </c>
      <c r="K40" s="154">
        <f t="shared" si="2"/>
        <v>13</v>
      </c>
      <c r="O40" s="45"/>
      <c r="P40" s="45"/>
    </row>
    <row r="41" spans="1:16" s="3" customFormat="1" ht="12.75" customHeight="1" x14ac:dyDescent="0.25">
      <c r="A41" s="19" t="s">
        <v>140</v>
      </c>
      <c r="B41" s="4">
        <v>20</v>
      </c>
      <c r="C41" s="4">
        <v>15</v>
      </c>
      <c r="D41" s="4">
        <v>10</v>
      </c>
      <c r="E41" s="4">
        <v>15</v>
      </c>
      <c r="F41" s="4">
        <v>13</v>
      </c>
      <c r="G41" s="4">
        <f t="shared" si="0"/>
        <v>14.6</v>
      </c>
      <c r="H41" s="55">
        <f t="shared" si="3"/>
        <v>14.6</v>
      </c>
      <c r="I41" s="20">
        <f t="shared" si="4"/>
        <v>14</v>
      </c>
      <c r="J41" s="153">
        <f t="shared" si="1"/>
        <v>15</v>
      </c>
      <c r="K41" s="154">
        <f t="shared" si="2"/>
        <v>16</v>
      </c>
      <c r="O41" s="45"/>
      <c r="P41" s="45"/>
    </row>
    <row r="42" spans="1:16" s="3" customFormat="1" ht="12.75" customHeight="1" x14ac:dyDescent="0.25">
      <c r="A42" s="18" t="s">
        <v>141</v>
      </c>
      <c r="B42" s="20">
        <v>18</v>
      </c>
      <c r="C42" s="20">
        <v>16</v>
      </c>
      <c r="D42" s="20">
        <v>6</v>
      </c>
      <c r="E42" s="20">
        <v>15</v>
      </c>
      <c r="F42" s="20">
        <v>14</v>
      </c>
      <c r="G42" s="4">
        <f t="shared" si="0"/>
        <v>13.8</v>
      </c>
      <c r="H42" s="55">
        <f t="shared" si="3"/>
        <v>13.8</v>
      </c>
      <c r="I42" s="20">
        <f t="shared" si="4"/>
        <v>13</v>
      </c>
      <c r="J42" s="153">
        <f t="shared" si="1"/>
        <v>14</v>
      </c>
      <c r="K42" s="154">
        <f t="shared" si="2"/>
        <v>15</v>
      </c>
      <c r="O42" s="45"/>
      <c r="P42" s="45"/>
    </row>
    <row r="43" spans="1:16" s="3" customFormat="1" ht="12.75" customHeight="1" x14ac:dyDescent="0.25">
      <c r="A43" s="19" t="s">
        <v>142</v>
      </c>
      <c r="B43" s="4">
        <v>6</v>
      </c>
      <c r="C43" s="4">
        <v>19</v>
      </c>
      <c r="D43" s="4">
        <v>17</v>
      </c>
      <c r="E43" s="4">
        <v>18</v>
      </c>
      <c r="F43" s="4">
        <v>15</v>
      </c>
      <c r="G43" s="4">
        <f t="shared" si="0"/>
        <v>15</v>
      </c>
      <c r="H43" s="55">
        <f t="shared" si="3"/>
        <v>15</v>
      </c>
      <c r="I43" s="20">
        <f t="shared" si="4"/>
        <v>15</v>
      </c>
      <c r="J43" s="153">
        <f t="shared" si="1"/>
        <v>15</v>
      </c>
      <c r="K43" s="154">
        <f t="shared" si="2"/>
        <v>16</v>
      </c>
      <c r="O43" s="45"/>
      <c r="P43" s="45"/>
    </row>
    <row r="44" spans="1:16" s="3" customFormat="1" ht="12.75" customHeight="1" x14ac:dyDescent="0.25">
      <c r="A44" s="18" t="s">
        <v>143</v>
      </c>
      <c r="B44" s="20">
        <v>12</v>
      </c>
      <c r="C44" s="20">
        <v>17</v>
      </c>
      <c r="D44" s="20">
        <v>18</v>
      </c>
      <c r="E44" s="20">
        <v>16</v>
      </c>
      <c r="F44" s="20">
        <v>20</v>
      </c>
      <c r="G44" s="4">
        <f t="shared" si="0"/>
        <v>16.600000000000001</v>
      </c>
      <c r="H44" s="55">
        <f t="shared" si="3"/>
        <v>16.600000000000001</v>
      </c>
      <c r="I44" s="20">
        <f t="shared" si="4"/>
        <v>16</v>
      </c>
      <c r="J44" s="153">
        <f t="shared" si="1"/>
        <v>17</v>
      </c>
      <c r="K44" s="154">
        <f t="shared" si="2"/>
        <v>18</v>
      </c>
      <c r="M44" s="128" t="s">
        <v>144</v>
      </c>
      <c r="N44" s="128"/>
      <c r="O44" s="130">
        <f>_xlfn.MODE.SNGL(H6:H55)</f>
        <v>14.2</v>
      </c>
      <c r="P44" s="45"/>
    </row>
    <row r="45" spans="1:16" s="3" customFormat="1" ht="12.75" customHeight="1" x14ac:dyDescent="0.25">
      <c r="A45" s="19" t="s">
        <v>145</v>
      </c>
      <c r="B45" s="4">
        <v>13</v>
      </c>
      <c r="C45" s="4">
        <v>8</v>
      </c>
      <c r="D45" s="4">
        <v>6</v>
      </c>
      <c r="E45" s="4">
        <v>19</v>
      </c>
      <c r="F45" s="4"/>
      <c r="G45" s="4">
        <f t="shared" si="0"/>
        <v>11.5</v>
      </c>
      <c r="H45" s="55">
        <f t="shared" si="3"/>
        <v>11.5</v>
      </c>
      <c r="I45" s="20">
        <f t="shared" si="4"/>
        <v>11</v>
      </c>
      <c r="J45" s="153">
        <f t="shared" si="1"/>
        <v>12</v>
      </c>
      <c r="K45" s="154">
        <f t="shared" si="2"/>
        <v>13</v>
      </c>
      <c r="M45" s="128"/>
      <c r="N45" s="128"/>
      <c r="O45" s="130"/>
      <c r="P45" s="45"/>
    </row>
    <row r="46" spans="1:16" s="3" customFormat="1" ht="12.75" customHeight="1" x14ac:dyDescent="0.25">
      <c r="A46" s="22" t="s">
        <v>146</v>
      </c>
      <c r="B46" s="20">
        <v>16</v>
      </c>
      <c r="C46" s="20">
        <v>20</v>
      </c>
      <c r="D46" s="20">
        <v>6</v>
      </c>
      <c r="E46" s="20">
        <v>20</v>
      </c>
      <c r="F46" s="20">
        <v>13</v>
      </c>
      <c r="G46" s="4">
        <f t="shared" si="0"/>
        <v>15</v>
      </c>
      <c r="H46" s="55">
        <f t="shared" si="3"/>
        <v>15</v>
      </c>
      <c r="I46" s="20">
        <f t="shared" si="4"/>
        <v>15</v>
      </c>
      <c r="J46" s="153">
        <f t="shared" si="1"/>
        <v>15</v>
      </c>
      <c r="K46" s="154">
        <f t="shared" si="2"/>
        <v>16</v>
      </c>
      <c r="M46" s="128"/>
      <c r="N46" s="128"/>
      <c r="O46" s="130"/>
      <c r="P46" s="45"/>
    </row>
    <row r="47" spans="1:16" s="3" customFormat="1" ht="12.75" customHeight="1" x14ac:dyDescent="0.25">
      <c r="A47" s="23" t="s">
        <v>147</v>
      </c>
      <c r="B47" s="4">
        <v>7</v>
      </c>
      <c r="C47" s="4">
        <v>13</v>
      </c>
      <c r="D47" s="4">
        <v>10</v>
      </c>
      <c r="E47" s="4">
        <v>16</v>
      </c>
      <c r="F47" s="4">
        <v>14</v>
      </c>
      <c r="G47" s="4">
        <f t="shared" si="0"/>
        <v>12</v>
      </c>
      <c r="H47" s="55">
        <f t="shared" si="3"/>
        <v>12</v>
      </c>
      <c r="I47" s="20">
        <f t="shared" si="4"/>
        <v>12</v>
      </c>
      <c r="J47" s="153">
        <f t="shared" si="1"/>
        <v>12</v>
      </c>
      <c r="K47" s="154">
        <f t="shared" si="2"/>
        <v>13</v>
      </c>
      <c r="M47" s="129"/>
      <c r="N47" s="129"/>
      <c r="O47" s="130"/>
      <c r="P47" s="45"/>
    </row>
    <row r="48" spans="1:16" s="3" customFormat="1" ht="12.75" customHeight="1" x14ac:dyDescent="0.25">
      <c r="A48" s="22" t="s">
        <v>148</v>
      </c>
      <c r="B48" s="20">
        <v>19</v>
      </c>
      <c r="C48" s="20">
        <v>6</v>
      </c>
      <c r="D48" s="20">
        <v>10</v>
      </c>
      <c r="E48" s="20">
        <v>16</v>
      </c>
      <c r="F48" s="20">
        <v>20</v>
      </c>
      <c r="G48" s="4">
        <f t="shared" si="0"/>
        <v>14.2</v>
      </c>
      <c r="H48" s="55">
        <f t="shared" si="3"/>
        <v>14.2</v>
      </c>
      <c r="I48" s="20">
        <f t="shared" si="4"/>
        <v>14</v>
      </c>
      <c r="J48" s="153">
        <f t="shared" si="1"/>
        <v>14</v>
      </c>
      <c r="K48" s="154">
        <f t="shared" si="2"/>
        <v>15</v>
      </c>
      <c r="O48" s="45"/>
      <c r="P48" s="45"/>
    </row>
    <row r="49" spans="1:16" s="3" customFormat="1" ht="12.75" customHeight="1" x14ac:dyDescent="0.25">
      <c r="A49" s="23" t="s">
        <v>149</v>
      </c>
      <c r="B49" s="4">
        <v>9</v>
      </c>
      <c r="C49" s="4">
        <v>5</v>
      </c>
      <c r="D49" s="4">
        <v>18</v>
      </c>
      <c r="E49" s="4">
        <v>16</v>
      </c>
      <c r="F49" s="4">
        <v>16</v>
      </c>
      <c r="G49" s="4">
        <f t="shared" si="0"/>
        <v>12.8</v>
      </c>
      <c r="H49" s="55">
        <f t="shared" si="3"/>
        <v>12.8</v>
      </c>
      <c r="I49" s="20">
        <f t="shared" si="4"/>
        <v>12</v>
      </c>
      <c r="J49" s="153">
        <f t="shared" si="1"/>
        <v>13</v>
      </c>
      <c r="K49" s="154">
        <f t="shared" si="2"/>
        <v>14</v>
      </c>
      <c r="O49" s="45"/>
      <c r="P49" s="45"/>
    </row>
    <row r="50" spans="1:16" s="3" customFormat="1" ht="12.75" customHeight="1" x14ac:dyDescent="0.25">
      <c r="A50" s="22" t="s">
        <v>150</v>
      </c>
      <c r="B50" s="20">
        <v>7</v>
      </c>
      <c r="C50" s="20">
        <v>11</v>
      </c>
      <c r="D50" s="20">
        <v>20</v>
      </c>
      <c r="E50" s="20">
        <v>20</v>
      </c>
      <c r="F50" s="20">
        <v>11</v>
      </c>
      <c r="G50" s="4">
        <f t="shared" si="0"/>
        <v>13.8</v>
      </c>
      <c r="H50" s="55">
        <f t="shared" si="3"/>
        <v>13.8</v>
      </c>
      <c r="I50" s="20">
        <f t="shared" si="4"/>
        <v>13</v>
      </c>
      <c r="J50" s="153">
        <f t="shared" si="1"/>
        <v>14</v>
      </c>
      <c r="K50" s="154">
        <f t="shared" si="2"/>
        <v>15</v>
      </c>
      <c r="O50" s="45"/>
      <c r="P50" s="45"/>
    </row>
    <row r="51" spans="1:16" s="3" customFormat="1" ht="12.75" customHeight="1" x14ac:dyDescent="0.25">
      <c r="A51" s="23" t="s">
        <v>151</v>
      </c>
      <c r="B51" s="4">
        <v>6</v>
      </c>
      <c r="C51" s="4">
        <v>18</v>
      </c>
      <c r="D51" s="4">
        <v>6</v>
      </c>
      <c r="E51" s="4">
        <v>20</v>
      </c>
      <c r="F51" s="4">
        <v>17</v>
      </c>
      <c r="G51" s="4">
        <f t="shared" si="0"/>
        <v>13.4</v>
      </c>
      <c r="H51" s="55">
        <f t="shared" si="3"/>
        <v>13.4</v>
      </c>
      <c r="I51" s="20">
        <f t="shared" si="4"/>
        <v>13</v>
      </c>
      <c r="J51" s="153">
        <f t="shared" si="1"/>
        <v>13</v>
      </c>
      <c r="K51" s="154">
        <f t="shared" si="2"/>
        <v>14</v>
      </c>
      <c r="O51" s="45"/>
      <c r="P51" s="45"/>
    </row>
    <row r="52" spans="1:16" s="3" customFormat="1" ht="12.75" customHeight="1" x14ac:dyDescent="0.25">
      <c r="A52" s="22" t="s">
        <v>152</v>
      </c>
      <c r="B52" s="20">
        <v>14</v>
      </c>
      <c r="C52" s="20">
        <v>15</v>
      </c>
      <c r="D52" s="20">
        <v>13</v>
      </c>
      <c r="E52" s="20">
        <v>17</v>
      </c>
      <c r="F52" s="20"/>
      <c r="G52" s="4">
        <f t="shared" si="0"/>
        <v>14.75</v>
      </c>
      <c r="H52" s="55">
        <f t="shared" si="3"/>
        <v>14.75</v>
      </c>
      <c r="I52" s="20">
        <f t="shared" si="4"/>
        <v>14</v>
      </c>
      <c r="J52" s="153">
        <f t="shared" si="1"/>
        <v>15</v>
      </c>
      <c r="K52" s="154">
        <f t="shared" si="2"/>
        <v>16</v>
      </c>
      <c r="O52" s="45"/>
      <c r="P52" s="45"/>
    </row>
    <row r="53" spans="1:16" s="3" customFormat="1" ht="12.75" customHeight="1" x14ac:dyDescent="0.25">
      <c r="A53" s="23" t="s">
        <v>153</v>
      </c>
      <c r="B53" s="4">
        <v>15</v>
      </c>
      <c r="C53" s="4">
        <v>11</v>
      </c>
      <c r="D53" s="4">
        <v>11</v>
      </c>
      <c r="E53" s="4">
        <v>18</v>
      </c>
      <c r="F53" s="4">
        <v>15</v>
      </c>
      <c r="G53" s="4">
        <f t="shared" si="0"/>
        <v>14</v>
      </c>
      <c r="H53" s="55">
        <f t="shared" si="3"/>
        <v>14</v>
      </c>
      <c r="I53" s="20">
        <f t="shared" si="4"/>
        <v>14</v>
      </c>
      <c r="J53" s="153">
        <f t="shared" si="1"/>
        <v>14</v>
      </c>
      <c r="K53" s="154">
        <f t="shared" si="2"/>
        <v>15</v>
      </c>
      <c r="O53" s="45"/>
      <c r="P53" s="45"/>
    </row>
    <row r="54" spans="1:16" s="3" customFormat="1" ht="12.75" customHeight="1" x14ac:dyDescent="0.25">
      <c r="A54" s="22" t="s">
        <v>154</v>
      </c>
      <c r="B54" s="20">
        <v>16</v>
      </c>
      <c r="C54" s="20">
        <v>9</v>
      </c>
      <c r="D54" s="20">
        <v>19</v>
      </c>
      <c r="E54" s="20">
        <v>19</v>
      </c>
      <c r="F54" s="20">
        <v>19</v>
      </c>
      <c r="G54" s="4">
        <f t="shared" si="0"/>
        <v>16.399999999999999</v>
      </c>
      <c r="H54" s="55">
        <f t="shared" si="3"/>
        <v>16.399999999999999</v>
      </c>
      <c r="I54" s="20">
        <f t="shared" si="4"/>
        <v>16</v>
      </c>
      <c r="J54" s="153">
        <f t="shared" si="1"/>
        <v>16</v>
      </c>
      <c r="K54" s="154">
        <f t="shared" si="2"/>
        <v>17</v>
      </c>
      <c r="O54" s="45"/>
      <c r="P54" s="45"/>
    </row>
    <row r="55" spans="1:16" s="3" customFormat="1" ht="12.75" customHeight="1" x14ac:dyDescent="0.25">
      <c r="A55" s="23" t="s">
        <v>155</v>
      </c>
      <c r="B55" s="4">
        <v>7</v>
      </c>
      <c r="C55" s="4">
        <v>11</v>
      </c>
      <c r="D55" s="4">
        <v>11</v>
      </c>
      <c r="E55" s="4">
        <v>15</v>
      </c>
      <c r="F55" s="4">
        <v>17</v>
      </c>
      <c r="G55" s="4">
        <f t="shared" si="0"/>
        <v>12.2</v>
      </c>
      <c r="H55" s="55">
        <f t="shared" si="3"/>
        <v>12.2</v>
      </c>
      <c r="I55" s="20">
        <f t="shared" si="4"/>
        <v>12</v>
      </c>
      <c r="J55" s="153">
        <f t="shared" si="1"/>
        <v>12</v>
      </c>
      <c r="K55" s="154">
        <f t="shared" si="2"/>
        <v>13</v>
      </c>
      <c r="O55" s="45"/>
      <c r="P55" s="45"/>
    </row>
    <row r="56" spans="1:16" x14ac:dyDescent="0.25">
      <c r="A56" s="3"/>
      <c r="M56" s="3"/>
      <c r="N56" s="3"/>
      <c r="O56" s="45"/>
      <c r="P56" s="45"/>
    </row>
    <row r="57" spans="1:16" x14ac:dyDescent="0.25">
      <c r="M57" s="3"/>
      <c r="N57" s="3"/>
      <c r="O57" s="45"/>
      <c r="P57" s="45"/>
    </row>
  </sheetData>
  <mergeCells count="11">
    <mergeCell ref="A4:F4"/>
    <mergeCell ref="M44:N47"/>
    <mergeCell ref="O44:O47"/>
    <mergeCell ref="O8:O11"/>
    <mergeCell ref="O17:O20"/>
    <mergeCell ref="O35:O38"/>
    <mergeCell ref="O26:O29"/>
    <mergeCell ref="M26:N29"/>
    <mergeCell ref="M8:N11"/>
    <mergeCell ref="M17:N20"/>
    <mergeCell ref="M35:N38"/>
  </mergeCells>
  <phoneticPr fontId="2" type="noConversion"/>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GridLines="0" zoomScaleNormal="100" workbookViewId="0">
      <selection activeCell="D27" sqref="D27:D28"/>
    </sheetView>
  </sheetViews>
  <sheetFormatPr baseColWidth="10" defaultColWidth="27.28515625" defaultRowHeight="15.75" x14ac:dyDescent="0.25"/>
  <cols>
    <col min="1" max="4" width="27.28515625" style="11"/>
    <col min="5" max="5" width="1" style="11" customWidth="1"/>
    <col min="6" max="7" width="27.28515625" style="11"/>
    <col min="8" max="8" width="8.85546875" style="11" bestFit="1" customWidth="1"/>
    <col min="9" max="9" width="17.7109375" style="11" bestFit="1" customWidth="1"/>
    <col min="10" max="10" width="28.28515625" style="11" customWidth="1"/>
    <col min="11" max="16384" width="27.28515625" style="11"/>
  </cols>
  <sheetData>
    <row r="1" spans="1:10" ht="42.75" customHeight="1" x14ac:dyDescent="0.25">
      <c r="A1" s="134" t="s">
        <v>156</v>
      </c>
      <c r="B1" s="134"/>
      <c r="C1" s="134"/>
      <c r="D1" s="134"/>
      <c r="E1" s="134"/>
      <c r="F1" s="134"/>
      <c r="G1" s="134"/>
      <c r="H1" s="134"/>
      <c r="I1" s="134"/>
      <c r="J1" s="134"/>
    </row>
    <row r="2" spans="1:10" s="13" customFormat="1" ht="12.75" customHeight="1" x14ac:dyDescent="0.35">
      <c r="J2" s="14"/>
    </row>
    <row r="3" spans="1:10" s="12" customFormat="1" ht="51.75" customHeight="1" x14ac:dyDescent="0.25">
      <c r="A3" s="135" t="s">
        <v>157</v>
      </c>
      <c r="B3" s="135"/>
      <c r="C3" s="135"/>
      <c r="D3" s="135"/>
      <c r="F3" s="10" t="s">
        <v>158</v>
      </c>
      <c r="G3" s="10" t="s">
        <v>159</v>
      </c>
      <c r="H3" s="10" t="s">
        <v>160</v>
      </c>
      <c r="I3" s="10" t="s">
        <v>161</v>
      </c>
      <c r="J3" s="10" t="s">
        <v>162</v>
      </c>
    </row>
    <row r="4" spans="1:10" x14ac:dyDescent="0.25">
      <c r="A4"/>
      <c r="F4" s="25" t="s">
        <v>163</v>
      </c>
      <c r="G4" s="25" t="s">
        <v>164</v>
      </c>
      <c r="H4" s="25">
        <v>1</v>
      </c>
      <c r="I4" s="63">
        <v>361</v>
      </c>
      <c r="J4" s="156">
        <f>SQRT(I4)</f>
        <v>19</v>
      </c>
    </row>
    <row r="5" spans="1:10" x14ac:dyDescent="0.25">
      <c r="A5" s="64" t="s">
        <v>165</v>
      </c>
      <c r="F5" s="25" t="s">
        <v>163</v>
      </c>
      <c r="G5" s="25" t="s">
        <v>166</v>
      </c>
      <c r="H5" s="25">
        <v>1</v>
      </c>
      <c r="I5" s="63">
        <v>64</v>
      </c>
      <c r="J5" s="156">
        <f t="shared" ref="J5:J28" si="0">SQRT(I5)</f>
        <v>8</v>
      </c>
    </row>
    <row r="6" spans="1:10" x14ac:dyDescent="0.25">
      <c r="A6"/>
      <c r="F6" s="25" t="s">
        <v>163</v>
      </c>
      <c r="G6" s="25" t="s">
        <v>167</v>
      </c>
      <c r="H6" s="25">
        <v>1</v>
      </c>
      <c r="I6" s="63">
        <v>144</v>
      </c>
      <c r="J6" s="156">
        <f t="shared" si="0"/>
        <v>12</v>
      </c>
    </row>
    <row r="7" spans="1:10" ht="15.75" customHeight="1" x14ac:dyDescent="0.25">
      <c r="A7" s="136" t="s">
        <v>168</v>
      </c>
      <c r="B7" s="136"/>
      <c r="C7" s="136"/>
      <c r="D7" s="136"/>
      <c r="F7" s="25" t="s">
        <v>163</v>
      </c>
      <c r="G7" s="25" t="s">
        <v>167</v>
      </c>
      <c r="H7" s="25">
        <v>2</v>
      </c>
      <c r="I7" s="63">
        <v>169</v>
      </c>
      <c r="J7" s="156">
        <f t="shared" si="0"/>
        <v>13</v>
      </c>
    </row>
    <row r="8" spans="1:10" x14ac:dyDescent="0.25">
      <c r="A8" s="136"/>
      <c r="B8" s="136"/>
      <c r="C8" s="136"/>
      <c r="D8" s="136"/>
      <c r="F8" s="25" t="s">
        <v>163</v>
      </c>
      <c r="G8" s="25" t="s">
        <v>169</v>
      </c>
      <c r="H8" s="25">
        <v>1</v>
      </c>
      <c r="I8" s="63">
        <v>196</v>
      </c>
      <c r="J8" s="156">
        <f t="shared" si="0"/>
        <v>14</v>
      </c>
    </row>
    <row r="9" spans="1:10" x14ac:dyDescent="0.25">
      <c r="A9" s="136"/>
      <c r="B9" s="136"/>
      <c r="C9" s="136"/>
      <c r="D9" s="136"/>
      <c r="F9" s="25" t="s">
        <v>163</v>
      </c>
      <c r="G9" s="25" t="s">
        <v>170</v>
      </c>
      <c r="H9" s="25">
        <v>1</v>
      </c>
      <c r="I9" s="63">
        <v>441</v>
      </c>
      <c r="J9" s="156">
        <f t="shared" si="0"/>
        <v>21</v>
      </c>
    </row>
    <row r="10" spans="1:10" x14ac:dyDescent="0.25">
      <c r="A10" s="136"/>
      <c r="B10" s="136"/>
      <c r="C10" s="136"/>
      <c r="D10" s="136"/>
      <c r="F10" s="25" t="s">
        <v>163</v>
      </c>
      <c r="G10" s="25" t="s">
        <v>171</v>
      </c>
      <c r="H10" s="25">
        <v>1</v>
      </c>
      <c r="I10" s="63">
        <v>81</v>
      </c>
      <c r="J10" s="156">
        <f t="shared" si="0"/>
        <v>9</v>
      </c>
    </row>
    <row r="11" spans="1:10" x14ac:dyDescent="0.25">
      <c r="A11" s="136"/>
      <c r="B11" s="136"/>
      <c r="C11" s="136"/>
      <c r="D11" s="136"/>
      <c r="F11" s="25" t="s">
        <v>163</v>
      </c>
      <c r="G11" s="25" t="s">
        <v>172</v>
      </c>
      <c r="H11" s="25">
        <v>1</v>
      </c>
      <c r="I11" s="63">
        <v>100</v>
      </c>
      <c r="J11" s="156">
        <f t="shared" si="0"/>
        <v>10</v>
      </c>
    </row>
    <row r="12" spans="1:10" x14ac:dyDescent="0.25">
      <c r="A12" s="66"/>
      <c r="B12" s="66"/>
      <c r="C12" s="66"/>
      <c r="D12" s="66"/>
      <c r="F12" s="25" t="s">
        <v>173</v>
      </c>
      <c r="G12" s="25" t="s">
        <v>174</v>
      </c>
      <c r="H12" s="25">
        <v>1</v>
      </c>
      <c r="I12" s="63">
        <v>121</v>
      </c>
      <c r="J12" s="156">
        <f t="shared" si="0"/>
        <v>11</v>
      </c>
    </row>
    <row r="13" spans="1:10" x14ac:dyDescent="0.25">
      <c r="A13" s="65"/>
      <c r="B13" s="65"/>
      <c r="C13" s="65"/>
      <c r="D13" s="65"/>
      <c r="F13" s="25" t="s">
        <v>173</v>
      </c>
      <c r="G13" s="25" t="s">
        <v>175</v>
      </c>
      <c r="H13" s="25">
        <v>1</v>
      </c>
      <c r="I13" s="63">
        <v>289</v>
      </c>
      <c r="J13" s="156">
        <f t="shared" si="0"/>
        <v>17</v>
      </c>
    </row>
    <row r="14" spans="1:10" x14ac:dyDescent="0.25">
      <c r="A14" s="64" t="s">
        <v>176</v>
      </c>
      <c r="F14" s="25" t="s">
        <v>173</v>
      </c>
      <c r="G14" s="25" t="s">
        <v>177</v>
      </c>
      <c r="H14" s="25">
        <v>1</v>
      </c>
      <c r="I14" s="63">
        <v>16</v>
      </c>
      <c r="J14" s="156">
        <f t="shared" si="0"/>
        <v>4</v>
      </c>
    </row>
    <row r="15" spans="1:10" ht="15.75" customHeight="1" x14ac:dyDescent="0.25">
      <c r="F15" s="25" t="s">
        <v>173</v>
      </c>
      <c r="G15" s="25" t="s">
        <v>178</v>
      </c>
      <c r="H15" s="25">
        <v>1</v>
      </c>
      <c r="I15" s="63">
        <v>49</v>
      </c>
      <c r="J15" s="156">
        <f t="shared" si="0"/>
        <v>7</v>
      </c>
    </row>
    <row r="16" spans="1:10" x14ac:dyDescent="0.25">
      <c r="A16" s="136" t="s">
        <v>179</v>
      </c>
      <c r="B16" s="136"/>
      <c r="C16" s="136"/>
      <c r="D16" s="136"/>
      <c r="F16" s="25" t="s">
        <v>173</v>
      </c>
      <c r="G16" s="25" t="s">
        <v>180</v>
      </c>
      <c r="H16" s="25">
        <v>1</v>
      </c>
      <c r="I16" s="63">
        <v>64</v>
      </c>
      <c r="J16" s="156">
        <f t="shared" si="0"/>
        <v>8</v>
      </c>
    </row>
    <row r="17" spans="1:10" x14ac:dyDescent="0.25">
      <c r="A17" s="136"/>
      <c r="B17" s="136"/>
      <c r="C17" s="136"/>
      <c r="D17" s="136"/>
      <c r="F17" s="25" t="s">
        <v>181</v>
      </c>
      <c r="G17" s="25" t="s">
        <v>167</v>
      </c>
      <c r="H17" s="25">
        <v>1</v>
      </c>
      <c r="I17" s="63">
        <v>225</v>
      </c>
      <c r="J17" s="156">
        <f t="shared" si="0"/>
        <v>15</v>
      </c>
    </row>
    <row r="18" spans="1:10" x14ac:dyDescent="0.25">
      <c r="A18" s="136"/>
      <c r="B18" s="136"/>
      <c r="C18" s="136"/>
      <c r="D18" s="136"/>
      <c r="F18" s="25" t="s">
        <v>181</v>
      </c>
      <c r="G18" s="25" t="s">
        <v>166</v>
      </c>
      <c r="H18" s="25">
        <v>1</v>
      </c>
      <c r="I18" s="63">
        <v>49</v>
      </c>
      <c r="J18" s="156">
        <f t="shared" si="0"/>
        <v>7</v>
      </c>
    </row>
    <row r="19" spans="1:10" x14ac:dyDescent="0.25">
      <c r="A19" s="136"/>
      <c r="B19" s="136"/>
      <c r="C19" s="136"/>
      <c r="D19" s="136"/>
      <c r="F19" s="25" t="s">
        <v>181</v>
      </c>
      <c r="G19" s="25" t="s">
        <v>170</v>
      </c>
      <c r="H19" s="25">
        <v>1</v>
      </c>
      <c r="I19" s="63">
        <v>25</v>
      </c>
      <c r="J19" s="156">
        <f t="shared" si="0"/>
        <v>5</v>
      </c>
    </row>
    <row r="20" spans="1:10" x14ac:dyDescent="0.25">
      <c r="A20" s="136"/>
      <c r="B20" s="136"/>
      <c r="C20" s="136"/>
      <c r="D20" s="136"/>
      <c r="F20" s="25" t="s">
        <v>181</v>
      </c>
      <c r="G20" s="25" t="s">
        <v>169</v>
      </c>
      <c r="H20" s="25">
        <v>1</v>
      </c>
      <c r="I20" s="63">
        <v>256</v>
      </c>
      <c r="J20" s="156">
        <f t="shared" si="0"/>
        <v>16</v>
      </c>
    </row>
    <row r="21" spans="1:10" x14ac:dyDescent="0.25">
      <c r="A21" s="65"/>
      <c r="B21" s="65"/>
      <c r="C21" s="65"/>
      <c r="D21" s="65"/>
      <c r="F21" s="25" t="s">
        <v>181</v>
      </c>
      <c r="G21" s="25" t="s">
        <v>175</v>
      </c>
      <c r="H21" s="25">
        <v>1</v>
      </c>
      <c r="I21" s="63">
        <v>529</v>
      </c>
      <c r="J21" s="156">
        <f t="shared" si="0"/>
        <v>23</v>
      </c>
    </row>
    <row r="22" spans="1:10" x14ac:dyDescent="0.25">
      <c r="A22" s="65"/>
      <c r="B22" s="65"/>
      <c r="C22" s="65"/>
      <c r="D22" s="65"/>
      <c r="F22" s="25" t="s">
        <v>182</v>
      </c>
      <c r="G22" s="25" t="s">
        <v>177</v>
      </c>
      <c r="H22" s="25">
        <v>1</v>
      </c>
      <c r="I22" s="63">
        <v>484</v>
      </c>
      <c r="J22" s="156">
        <f t="shared" si="0"/>
        <v>22</v>
      </c>
    </row>
    <row r="23" spans="1:10" x14ac:dyDescent="0.25">
      <c r="A23" s="137" t="s">
        <v>183</v>
      </c>
      <c r="B23" s="137"/>
      <c r="C23" s="137"/>
      <c r="D23" s="157">
        <f>MIN(J4:J28)</f>
        <v>4</v>
      </c>
      <c r="F23" s="25" t="s">
        <v>182</v>
      </c>
      <c r="G23" s="25" t="s">
        <v>169</v>
      </c>
      <c r="H23" s="25">
        <v>1</v>
      </c>
      <c r="I23" s="63">
        <v>576</v>
      </c>
      <c r="J23" s="156">
        <f t="shared" si="0"/>
        <v>24</v>
      </c>
    </row>
    <row r="24" spans="1:10" x14ac:dyDescent="0.25">
      <c r="A24" s="137"/>
      <c r="B24" s="137"/>
      <c r="C24" s="137"/>
      <c r="D24" s="138"/>
      <c r="F24" s="25" t="s">
        <v>182</v>
      </c>
      <c r="G24" s="25" t="s">
        <v>166</v>
      </c>
      <c r="H24" s="25">
        <v>1</v>
      </c>
      <c r="I24" s="63">
        <v>400</v>
      </c>
      <c r="J24" s="156">
        <f t="shared" si="0"/>
        <v>20</v>
      </c>
    </row>
    <row r="25" spans="1:10" x14ac:dyDescent="0.25">
      <c r="A25" s="137"/>
      <c r="B25" s="137"/>
      <c r="C25" s="137"/>
      <c r="D25" s="138"/>
      <c r="F25" s="25" t="s">
        <v>182</v>
      </c>
      <c r="G25" s="25" t="s">
        <v>167</v>
      </c>
      <c r="H25" s="25">
        <v>1</v>
      </c>
      <c r="I25" s="63">
        <v>625</v>
      </c>
      <c r="J25" s="156">
        <f t="shared" si="0"/>
        <v>25</v>
      </c>
    </row>
    <row r="26" spans="1:10" x14ac:dyDescent="0.25">
      <c r="A26" s="137"/>
      <c r="B26" s="137"/>
      <c r="C26" s="137"/>
      <c r="D26" s="138"/>
      <c r="F26" s="25" t="s">
        <v>182</v>
      </c>
      <c r="G26" s="25" t="s">
        <v>184</v>
      </c>
      <c r="H26" s="25">
        <v>1</v>
      </c>
      <c r="I26" s="63">
        <v>36</v>
      </c>
      <c r="J26" s="156">
        <f t="shared" si="0"/>
        <v>6</v>
      </c>
    </row>
    <row r="27" spans="1:10" x14ac:dyDescent="0.25">
      <c r="D27" s="132" t="s">
        <v>1273</v>
      </c>
      <c r="F27" s="25" t="s">
        <v>182</v>
      </c>
      <c r="G27" s="25" t="s">
        <v>185</v>
      </c>
      <c r="H27" s="25">
        <v>1</v>
      </c>
      <c r="I27" s="63">
        <v>144</v>
      </c>
      <c r="J27" s="156">
        <f t="shared" si="0"/>
        <v>12</v>
      </c>
    </row>
    <row r="28" spans="1:10" x14ac:dyDescent="0.25">
      <c r="D28" s="133"/>
      <c r="F28" s="25" t="s">
        <v>182</v>
      </c>
      <c r="G28" s="25" t="s">
        <v>186</v>
      </c>
      <c r="H28" s="25">
        <v>1</v>
      </c>
      <c r="I28" s="63">
        <v>324</v>
      </c>
      <c r="J28" s="156">
        <f t="shared" si="0"/>
        <v>18</v>
      </c>
    </row>
  </sheetData>
  <mergeCells count="7">
    <mergeCell ref="D27:D28"/>
    <mergeCell ref="A1:J1"/>
    <mergeCell ref="A3:D3"/>
    <mergeCell ref="A7:D11"/>
    <mergeCell ref="A16:D20"/>
    <mergeCell ref="A23:C26"/>
    <mergeCell ref="D23:D26"/>
  </mergeCells>
  <phoneticPr fontId="2" type="noConversion"/>
  <pageMargins left="0.7" right="0.7" top="0.75" bottom="0.75" header="0.3" footer="0.3"/>
  <pageSetup paperSize="9" scale="98"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1"/>
  <sheetViews>
    <sheetView showGridLines="0" topLeftCell="C1" zoomScale="110" zoomScaleNormal="110" workbookViewId="0">
      <selection activeCell="Q6" sqref="Q6"/>
    </sheetView>
  </sheetViews>
  <sheetFormatPr baseColWidth="10" defaultColWidth="11.42578125" defaultRowHeight="15" x14ac:dyDescent="0.25"/>
  <cols>
    <col min="1" max="1" width="11.5703125" bestFit="1" customWidth="1"/>
    <col min="2" max="2" width="14.28515625" bestFit="1" customWidth="1"/>
    <col min="3" max="3" width="19.5703125" customWidth="1"/>
    <col min="4" max="4" width="8.5703125" bestFit="1" customWidth="1"/>
    <col min="5" max="5" width="14.140625" bestFit="1" customWidth="1"/>
    <col min="6" max="6" width="28.7109375" bestFit="1" customWidth="1"/>
    <col min="7" max="8" width="14.85546875" customWidth="1"/>
    <col min="9" max="9" width="1.7109375" customWidth="1"/>
    <col min="10" max="11" width="18.85546875" customWidth="1"/>
    <col min="12" max="12" width="12.5703125" customWidth="1"/>
    <col min="17" max="17" width="12.5703125" customWidth="1"/>
  </cols>
  <sheetData>
    <row r="1" spans="1:18" ht="39" customHeight="1" x14ac:dyDescent="0.25">
      <c r="A1" s="125" t="s">
        <v>187</v>
      </c>
      <c r="B1" s="126"/>
      <c r="C1" s="126"/>
      <c r="D1" s="126"/>
      <c r="E1" s="126"/>
      <c r="F1" s="126"/>
      <c r="G1" s="126"/>
      <c r="H1" s="126"/>
      <c r="J1" s="141" t="s">
        <v>188</v>
      </c>
      <c r="K1" s="141"/>
      <c r="L1" s="141"/>
      <c r="M1" s="141"/>
      <c r="N1" s="139" t="s">
        <v>189</v>
      </c>
      <c r="O1" s="139"/>
      <c r="P1" s="139"/>
      <c r="Q1" s="139"/>
    </row>
    <row r="2" spans="1:18" s="83" customFormat="1" ht="3.75" customHeight="1" x14ac:dyDescent="0.25">
      <c r="C2"/>
      <c r="D2"/>
      <c r="E2"/>
      <c r="F2"/>
      <c r="G2"/>
      <c r="H2"/>
      <c r="I2"/>
      <c r="K2"/>
      <c r="L2"/>
      <c r="M2"/>
      <c r="N2"/>
      <c r="O2"/>
      <c r="P2"/>
      <c r="Q2"/>
      <c r="R2"/>
    </row>
    <row r="3" spans="1:18" s="43" customFormat="1" ht="45" customHeight="1" x14ac:dyDescent="0.25">
      <c r="A3" s="7" t="s">
        <v>190</v>
      </c>
      <c r="B3" s="7" t="s">
        <v>4</v>
      </c>
      <c r="C3" s="7" t="s">
        <v>6</v>
      </c>
      <c r="D3" s="7" t="s">
        <v>5</v>
      </c>
      <c r="E3" s="7" t="s">
        <v>2</v>
      </c>
      <c r="F3" s="7" t="s">
        <v>3</v>
      </c>
      <c r="G3" s="7" t="s">
        <v>191</v>
      </c>
      <c r="H3" s="7" t="s">
        <v>192</v>
      </c>
    </row>
    <row r="4" spans="1:18" ht="15" customHeight="1" x14ac:dyDescent="0.25">
      <c r="A4" s="84" t="s">
        <v>193</v>
      </c>
      <c r="B4" s="40" t="s">
        <v>194</v>
      </c>
      <c r="C4" s="40" t="s">
        <v>62</v>
      </c>
      <c r="D4" s="34">
        <v>2740</v>
      </c>
      <c r="E4" s="35" t="s">
        <v>13</v>
      </c>
      <c r="F4" s="33" t="s">
        <v>41</v>
      </c>
      <c r="G4" s="85">
        <v>9.4</v>
      </c>
      <c r="H4" s="85">
        <f t="shared" ref="H4:H51" si="0">D4*G4</f>
        <v>25756</v>
      </c>
      <c r="J4" s="43"/>
      <c r="K4" s="43"/>
      <c r="L4" s="43"/>
      <c r="M4" s="43"/>
      <c r="N4" s="43"/>
      <c r="O4" s="43"/>
      <c r="P4" s="43"/>
      <c r="Q4" s="43"/>
    </row>
    <row r="5" spans="1:18" ht="15" customHeight="1" x14ac:dyDescent="0.25">
      <c r="A5" s="84" t="s">
        <v>193</v>
      </c>
      <c r="B5" s="40" t="s">
        <v>195</v>
      </c>
      <c r="C5" s="40" t="s">
        <v>64</v>
      </c>
      <c r="D5" s="34">
        <v>2900</v>
      </c>
      <c r="E5" s="33" t="s">
        <v>66</v>
      </c>
      <c r="F5" s="33" t="s">
        <v>69</v>
      </c>
      <c r="G5" s="85">
        <v>7.5</v>
      </c>
      <c r="H5" s="85">
        <f t="shared" si="0"/>
        <v>21750</v>
      </c>
    </row>
    <row r="6" spans="1:18" ht="15" customHeight="1" x14ac:dyDescent="0.25">
      <c r="A6" s="84" t="s">
        <v>193</v>
      </c>
      <c r="B6" s="40" t="s">
        <v>194</v>
      </c>
      <c r="C6" s="40" t="s">
        <v>12</v>
      </c>
      <c r="D6" s="34">
        <v>2720</v>
      </c>
      <c r="E6" s="33" t="s">
        <v>9</v>
      </c>
      <c r="F6" s="33" t="s">
        <v>38</v>
      </c>
      <c r="G6" s="85">
        <v>5.68</v>
      </c>
      <c r="H6" s="85">
        <f t="shared" si="0"/>
        <v>15449.599999999999</v>
      </c>
      <c r="J6" s="140" t="s">
        <v>196</v>
      </c>
      <c r="K6" s="140"/>
      <c r="L6" s="95" t="s">
        <v>13</v>
      </c>
      <c r="M6" s="1"/>
      <c r="N6" s="143" t="s">
        <v>197</v>
      </c>
      <c r="O6" s="143"/>
      <c r="P6" s="143"/>
      <c r="Q6" s="95" t="s">
        <v>60</v>
      </c>
    </row>
    <row r="7" spans="1:18" x14ac:dyDescent="0.25">
      <c r="A7" s="84" t="s">
        <v>193</v>
      </c>
      <c r="B7" s="40" t="s">
        <v>198</v>
      </c>
      <c r="C7" s="40" t="s">
        <v>62</v>
      </c>
      <c r="D7" s="34">
        <v>2460</v>
      </c>
      <c r="E7" s="158" t="s">
        <v>13</v>
      </c>
      <c r="F7" s="33" t="s">
        <v>36</v>
      </c>
      <c r="G7" s="85">
        <v>9.1999999999999993</v>
      </c>
      <c r="H7" s="85">
        <f t="shared" si="0"/>
        <v>22632</v>
      </c>
      <c r="J7" s="140"/>
      <c r="K7" s="140"/>
      <c r="L7" s="142">
        <f ca="1">SUMIF(E4:E52,"Atún",D4:D51)</f>
        <v>33980</v>
      </c>
      <c r="M7" s="1"/>
      <c r="N7" s="143"/>
      <c r="O7" s="143"/>
      <c r="P7" s="143"/>
      <c r="Q7" s="142">
        <f>COUNTIF(E4:E52, "aceite")</f>
        <v>8</v>
      </c>
    </row>
    <row r="8" spans="1:18" ht="15" customHeight="1" x14ac:dyDescent="0.25">
      <c r="A8" s="84" t="s">
        <v>193</v>
      </c>
      <c r="B8" s="40" t="s">
        <v>194</v>
      </c>
      <c r="C8" s="40" t="s">
        <v>62</v>
      </c>
      <c r="D8" s="34">
        <v>2310</v>
      </c>
      <c r="E8" s="35" t="s">
        <v>13</v>
      </c>
      <c r="F8" s="33" t="s">
        <v>34</v>
      </c>
      <c r="G8" s="85">
        <v>8.1999999999999993</v>
      </c>
      <c r="H8" s="85">
        <f t="shared" si="0"/>
        <v>18942</v>
      </c>
      <c r="J8" s="140"/>
      <c r="K8" s="140"/>
      <c r="L8" s="142"/>
      <c r="M8" s="1"/>
      <c r="N8" s="143"/>
      <c r="O8" s="143"/>
      <c r="P8" s="143"/>
      <c r="Q8" s="142"/>
    </row>
    <row r="9" spans="1:18" ht="15.75" x14ac:dyDescent="0.25">
      <c r="A9" s="84" t="s">
        <v>193</v>
      </c>
      <c r="B9" s="40" t="s">
        <v>194</v>
      </c>
      <c r="C9" s="40" t="s">
        <v>12</v>
      </c>
      <c r="D9" s="34">
        <v>1730</v>
      </c>
      <c r="E9" s="35" t="s">
        <v>60</v>
      </c>
      <c r="F9" s="33" t="s">
        <v>61</v>
      </c>
      <c r="G9" s="85">
        <v>8.1</v>
      </c>
      <c r="H9" s="85">
        <f t="shared" si="0"/>
        <v>14013</v>
      </c>
      <c r="J9" s="87"/>
      <c r="K9" s="87"/>
      <c r="L9" s="96"/>
      <c r="M9" s="1"/>
      <c r="N9" s="1"/>
      <c r="O9" s="31"/>
      <c r="P9" s="31"/>
      <c r="Q9" s="96"/>
    </row>
    <row r="10" spans="1:18" ht="15.75" x14ac:dyDescent="0.25">
      <c r="A10" s="84" t="s">
        <v>193</v>
      </c>
      <c r="B10" s="40" t="s">
        <v>199</v>
      </c>
      <c r="C10" s="40" t="s">
        <v>64</v>
      </c>
      <c r="D10" s="34">
        <v>2190</v>
      </c>
      <c r="E10" s="33" t="s">
        <v>56</v>
      </c>
      <c r="F10" s="33" t="s">
        <v>65</v>
      </c>
      <c r="G10" s="85">
        <v>16.5</v>
      </c>
      <c r="H10" s="85">
        <f t="shared" si="0"/>
        <v>36135</v>
      </c>
      <c r="J10" s="140" t="s">
        <v>200</v>
      </c>
      <c r="K10" s="140"/>
      <c r="L10" s="95" t="s">
        <v>201</v>
      </c>
      <c r="M10" s="1"/>
      <c r="N10" s="143" t="s">
        <v>202</v>
      </c>
      <c r="O10" s="143"/>
      <c r="P10" s="143"/>
      <c r="Q10" s="95" t="s">
        <v>203</v>
      </c>
    </row>
    <row r="11" spans="1:18" x14ac:dyDescent="0.25">
      <c r="A11" s="84" t="s">
        <v>193</v>
      </c>
      <c r="B11" s="40" t="s">
        <v>199</v>
      </c>
      <c r="C11" s="40" t="s">
        <v>62</v>
      </c>
      <c r="D11" s="34">
        <v>2260</v>
      </c>
      <c r="E11" s="35" t="s">
        <v>13</v>
      </c>
      <c r="F11" s="33" t="s">
        <v>31</v>
      </c>
      <c r="G11" s="85">
        <v>9</v>
      </c>
      <c r="H11" s="85">
        <f t="shared" si="0"/>
        <v>20340</v>
      </c>
      <c r="J11" s="140"/>
      <c r="K11" s="140"/>
      <c r="L11" s="142">
        <f ca="1">SUMIF(B4:B52,"almacen2",H4:H51)</f>
        <v>363147</v>
      </c>
      <c r="M11" s="1"/>
      <c r="N11" s="143"/>
      <c r="O11" s="143"/>
      <c r="P11" s="143"/>
      <c r="Q11" s="142">
        <f>COUNTIF(A4:A52,"febrero")</f>
        <v>7</v>
      </c>
    </row>
    <row r="12" spans="1:18" ht="15" customHeight="1" x14ac:dyDescent="0.25">
      <c r="A12" s="84" t="s">
        <v>193</v>
      </c>
      <c r="B12" s="40" t="s">
        <v>198</v>
      </c>
      <c r="C12" s="40" t="s">
        <v>12</v>
      </c>
      <c r="D12" s="34">
        <v>1720</v>
      </c>
      <c r="E12" s="35" t="s">
        <v>9</v>
      </c>
      <c r="F12" s="33" t="s">
        <v>20</v>
      </c>
      <c r="G12" s="85">
        <v>9</v>
      </c>
      <c r="H12" s="85">
        <f t="shared" si="0"/>
        <v>15480</v>
      </c>
      <c r="J12" s="140"/>
      <c r="K12" s="140"/>
      <c r="L12" s="142"/>
      <c r="M12" s="1"/>
      <c r="N12" s="143"/>
      <c r="O12" s="143"/>
      <c r="P12" s="143"/>
      <c r="Q12" s="142"/>
    </row>
    <row r="13" spans="1:18" ht="15.75" x14ac:dyDescent="0.25">
      <c r="A13" s="84" t="s">
        <v>203</v>
      </c>
      <c r="B13" s="40" t="s">
        <v>195</v>
      </c>
      <c r="C13" s="40" t="s">
        <v>64</v>
      </c>
      <c r="D13" s="34">
        <v>2830</v>
      </c>
      <c r="E13" s="33" t="s">
        <v>56</v>
      </c>
      <c r="F13" s="33" t="s">
        <v>84</v>
      </c>
      <c r="G13" s="85">
        <v>18.75</v>
      </c>
      <c r="H13" s="85">
        <f t="shared" si="0"/>
        <v>53062.5</v>
      </c>
      <c r="J13" s="87"/>
      <c r="K13" s="87"/>
      <c r="L13" s="96"/>
      <c r="M13" s="1"/>
      <c r="N13" s="1"/>
      <c r="O13" s="1"/>
      <c r="P13" s="1"/>
      <c r="Q13" s="96"/>
    </row>
    <row r="14" spans="1:18" ht="15.75" x14ac:dyDescent="0.25">
      <c r="A14" s="84" t="s">
        <v>203</v>
      </c>
      <c r="B14" s="40" t="s">
        <v>195</v>
      </c>
      <c r="C14" s="40" t="s">
        <v>68</v>
      </c>
      <c r="D14" s="34">
        <v>500</v>
      </c>
      <c r="E14" s="33" t="s">
        <v>66</v>
      </c>
      <c r="F14" s="33" t="s">
        <v>73</v>
      </c>
      <c r="G14" s="85">
        <v>16.12</v>
      </c>
      <c r="H14" s="85">
        <f t="shared" si="0"/>
        <v>8060.0000000000009</v>
      </c>
      <c r="J14" s="140" t="s">
        <v>204</v>
      </c>
      <c r="K14" s="140"/>
      <c r="L14" s="95" t="s">
        <v>1276</v>
      </c>
      <c r="M14" s="1"/>
      <c r="N14" s="143" t="s">
        <v>205</v>
      </c>
      <c r="O14" s="143"/>
      <c r="P14" s="143"/>
      <c r="Q14" s="95" t="s">
        <v>1281</v>
      </c>
    </row>
    <row r="15" spans="1:18" x14ac:dyDescent="0.25">
      <c r="A15" s="84" t="s">
        <v>203</v>
      </c>
      <c r="B15" s="40" t="s">
        <v>199</v>
      </c>
      <c r="C15" s="40" t="s">
        <v>12</v>
      </c>
      <c r="D15" s="34">
        <v>2400</v>
      </c>
      <c r="E15" s="35" t="s">
        <v>9</v>
      </c>
      <c r="F15" s="33" t="s">
        <v>24</v>
      </c>
      <c r="G15" s="85">
        <v>5.6</v>
      </c>
      <c r="H15" s="85">
        <f t="shared" si="0"/>
        <v>13440</v>
      </c>
      <c r="J15" s="140"/>
      <c r="K15" s="140"/>
      <c r="L15" s="142">
        <f>SUMIF(G4:G51,"&gt;10",D4:D51)</f>
        <v>25420</v>
      </c>
      <c r="M15" s="1"/>
      <c r="N15" s="143"/>
      <c r="O15" s="143"/>
      <c r="P15" s="143"/>
      <c r="Q15" s="142">
        <f>COUNTIF(B4:D52,"&lt;=2000")</f>
        <v>18</v>
      </c>
    </row>
    <row r="16" spans="1:18" x14ac:dyDescent="0.25">
      <c r="A16" s="84" t="s">
        <v>203</v>
      </c>
      <c r="B16" s="40" t="s">
        <v>198</v>
      </c>
      <c r="C16" s="40" t="s">
        <v>12</v>
      </c>
      <c r="D16" s="34">
        <v>2440</v>
      </c>
      <c r="E16" s="35" t="s">
        <v>9</v>
      </c>
      <c r="F16" s="33" t="s">
        <v>30</v>
      </c>
      <c r="G16" s="85">
        <v>7.2</v>
      </c>
      <c r="H16" s="85">
        <f t="shared" si="0"/>
        <v>17568</v>
      </c>
      <c r="J16" s="140"/>
      <c r="K16" s="140"/>
      <c r="L16" s="142"/>
      <c r="M16" s="1"/>
      <c r="N16" s="143"/>
      <c r="O16" s="143"/>
      <c r="P16" s="143"/>
      <c r="Q16" s="142"/>
    </row>
    <row r="17" spans="1:17" ht="15.75" x14ac:dyDescent="0.25">
      <c r="A17" s="84" t="s">
        <v>203</v>
      </c>
      <c r="B17" s="40" t="s">
        <v>206</v>
      </c>
      <c r="C17" s="40" t="s">
        <v>62</v>
      </c>
      <c r="D17" s="34">
        <v>1570</v>
      </c>
      <c r="E17" s="35" t="s">
        <v>13</v>
      </c>
      <c r="F17" s="33" t="s">
        <v>14</v>
      </c>
      <c r="G17" s="85">
        <v>6.5</v>
      </c>
      <c r="H17" s="85">
        <f t="shared" si="0"/>
        <v>10205</v>
      </c>
      <c r="J17" s="87"/>
      <c r="K17" s="87"/>
      <c r="L17" s="96"/>
      <c r="M17" s="1"/>
      <c r="N17" s="1"/>
      <c r="O17" s="1"/>
      <c r="P17" s="1"/>
      <c r="Q17" s="96"/>
    </row>
    <row r="18" spans="1:17" ht="15.75" x14ac:dyDescent="0.25">
      <c r="A18" s="84" t="s">
        <v>203</v>
      </c>
      <c r="B18" s="40" t="s">
        <v>206</v>
      </c>
      <c r="C18" s="40" t="s">
        <v>12</v>
      </c>
      <c r="D18" s="34">
        <v>2420</v>
      </c>
      <c r="E18" s="35" t="s">
        <v>9</v>
      </c>
      <c r="F18" s="33" t="s">
        <v>27</v>
      </c>
      <c r="G18" s="85">
        <v>7.9</v>
      </c>
      <c r="H18" s="85">
        <f t="shared" si="0"/>
        <v>19118</v>
      </c>
      <c r="J18" s="140" t="s">
        <v>207</v>
      </c>
      <c r="K18" s="140"/>
      <c r="L18" s="95" t="s">
        <v>1274</v>
      </c>
      <c r="M18" s="1"/>
      <c r="N18" s="143" t="s">
        <v>208</v>
      </c>
      <c r="O18" s="143"/>
      <c r="P18" s="143"/>
      <c r="Q18" s="95" t="s">
        <v>1275</v>
      </c>
    </row>
    <row r="19" spans="1:17" x14ac:dyDescent="0.25">
      <c r="A19" s="84" t="s">
        <v>203</v>
      </c>
      <c r="B19" s="40" t="s">
        <v>199</v>
      </c>
      <c r="C19" s="40" t="s">
        <v>12</v>
      </c>
      <c r="D19" s="34">
        <v>1730</v>
      </c>
      <c r="E19" s="35" t="s">
        <v>9</v>
      </c>
      <c r="F19" s="33" t="s">
        <v>22</v>
      </c>
      <c r="G19" s="85">
        <v>6</v>
      </c>
      <c r="H19" s="85">
        <f t="shared" si="0"/>
        <v>10380</v>
      </c>
      <c r="J19" s="140"/>
      <c r="K19" s="140"/>
      <c r="L19" s="142">
        <f ca="1">SUMIF(C4:C52,"caja",D4:D51)</f>
        <v>1000</v>
      </c>
      <c r="M19" s="1"/>
      <c r="N19" s="143"/>
      <c r="O19" s="143"/>
      <c r="P19" s="143"/>
      <c r="Q19" s="142">
        <f>COUNTIF(B4:B52,"almacen3")</f>
        <v>6</v>
      </c>
    </row>
    <row r="20" spans="1:17" x14ac:dyDescent="0.25">
      <c r="A20" s="84" t="s">
        <v>209</v>
      </c>
      <c r="B20" s="40" t="s">
        <v>206</v>
      </c>
      <c r="C20" s="40" t="s">
        <v>62</v>
      </c>
      <c r="D20" s="34">
        <v>2640</v>
      </c>
      <c r="E20" s="35" t="s">
        <v>13</v>
      </c>
      <c r="F20" s="33" t="s">
        <v>39</v>
      </c>
      <c r="G20" s="85">
        <v>8.3000000000000007</v>
      </c>
      <c r="H20" s="85">
        <f t="shared" si="0"/>
        <v>21912.000000000004</v>
      </c>
      <c r="J20" s="140"/>
      <c r="K20" s="140"/>
      <c r="L20" s="142"/>
      <c r="M20" s="1"/>
      <c r="N20" s="143"/>
      <c r="O20" s="143"/>
      <c r="P20" s="143"/>
      <c r="Q20" s="142"/>
    </row>
    <row r="21" spans="1:17" x14ac:dyDescent="0.25">
      <c r="A21" s="84" t="s">
        <v>209</v>
      </c>
      <c r="B21" s="40" t="s">
        <v>195</v>
      </c>
      <c r="C21" s="40" t="s">
        <v>62</v>
      </c>
      <c r="D21" s="34">
        <v>1940</v>
      </c>
      <c r="E21" s="35" t="s">
        <v>13</v>
      </c>
      <c r="F21" s="33" t="s">
        <v>23</v>
      </c>
      <c r="G21" s="85">
        <v>7.6</v>
      </c>
      <c r="H21" s="85">
        <f t="shared" si="0"/>
        <v>14744</v>
      </c>
    </row>
    <row r="22" spans="1:17" x14ac:dyDescent="0.25">
      <c r="A22" s="84" t="s">
        <v>209</v>
      </c>
      <c r="B22" s="40" t="s">
        <v>195</v>
      </c>
      <c r="C22" s="40" t="s">
        <v>12</v>
      </c>
      <c r="D22" s="34">
        <v>1970</v>
      </c>
      <c r="E22" s="35" t="s">
        <v>60</v>
      </c>
      <c r="F22" s="33" t="s">
        <v>72</v>
      </c>
      <c r="G22" s="85">
        <v>9.5</v>
      </c>
      <c r="H22" s="85">
        <f t="shared" si="0"/>
        <v>18715</v>
      </c>
    </row>
    <row r="23" spans="1:17" x14ac:dyDescent="0.25">
      <c r="A23" s="84" t="s">
        <v>209</v>
      </c>
      <c r="B23" s="40" t="s">
        <v>198</v>
      </c>
      <c r="C23" s="40" t="s">
        <v>62</v>
      </c>
      <c r="D23" s="34">
        <v>2980</v>
      </c>
      <c r="E23" s="35" t="s">
        <v>13</v>
      </c>
      <c r="F23" s="33" t="s">
        <v>45</v>
      </c>
      <c r="G23" s="85">
        <v>7.5</v>
      </c>
      <c r="H23" s="85">
        <f t="shared" si="0"/>
        <v>22350</v>
      </c>
    </row>
    <row r="24" spans="1:17" x14ac:dyDescent="0.25">
      <c r="A24" s="84" t="s">
        <v>209</v>
      </c>
      <c r="B24" s="40" t="s">
        <v>194</v>
      </c>
      <c r="C24" s="40" t="s">
        <v>64</v>
      </c>
      <c r="D24" s="34">
        <v>1610</v>
      </c>
      <c r="E24" s="33" t="s">
        <v>56</v>
      </c>
      <c r="F24" s="33" t="s">
        <v>87</v>
      </c>
      <c r="G24" s="85">
        <v>18</v>
      </c>
      <c r="H24" s="85">
        <f t="shared" si="0"/>
        <v>28980</v>
      </c>
    </row>
    <row r="25" spans="1:17" x14ac:dyDescent="0.25">
      <c r="A25" s="84" t="s">
        <v>209</v>
      </c>
      <c r="B25" s="40" t="s">
        <v>198</v>
      </c>
      <c r="C25" s="40" t="s">
        <v>12</v>
      </c>
      <c r="D25" s="34">
        <v>1540</v>
      </c>
      <c r="E25" s="35" t="s">
        <v>9</v>
      </c>
      <c r="F25" s="33" t="s">
        <v>15</v>
      </c>
      <c r="G25" s="85">
        <v>6.5</v>
      </c>
      <c r="H25" s="85">
        <f t="shared" si="0"/>
        <v>10010</v>
      </c>
    </row>
    <row r="26" spans="1:17" x14ac:dyDescent="0.25">
      <c r="A26" s="84" t="s">
        <v>209</v>
      </c>
      <c r="B26" s="40" t="s">
        <v>195</v>
      </c>
      <c r="C26" s="40" t="s">
        <v>12</v>
      </c>
      <c r="D26" s="34">
        <v>2640</v>
      </c>
      <c r="E26" s="35" t="s">
        <v>9</v>
      </c>
      <c r="F26" s="33" t="s">
        <v>32</v>
      </c>
      <c r="G26" s="85">
        <v>8</v>
      </c>
      <c r="H26" s="85">
        <f t="shared" si="0"/>
        <v>21120</v>
      </c>
    </row>
    <row r="27" spans="1:17" x14ac:dyDescent="0.25">
      <c r="A27" s="84" t="s">
        <v>209</v>
      </c>
      <c r="B27" s="40" t="s">
        <v>195</v>
      </c>
      <c r="C27" s="40" t="s">
        <v>64</v>
      </c>
      <c r="D27" s="34">
        <v>2160</v>
      </c>
      <c r="E27" s="33" t="s">
        <v>56</v>
      </c>
      <c r="F27" s="33" t="s">
        <v>63</v>
      </c>
      <c r="G27" s="85">
        <v>16</v>
      </c>
      <c r="H27" s="85">
        <f t="shared" si="0"/>
        <v>34560</v>
      </c>
    </row>
    <row r="28" spans="1:17" x14ac:dyDescent="0.25">
      <c r="A28" s="84" t="s">
        <v>210</v>
      </c>
      <c r="B28" s="40" t="s">
        <v>198</v>
      </c>
      <c r="C28" s="40" t="s">
        <v>62</v>
      </c>
      <c r="D28" s="34">
        <v>1710</v>
      </c>
      <c r="E28" s="35" t="s">
        <v>13</v>
      </c>
      <c r="F28" s="33" t="s">
        <v>18</v>
      </c>
      <c r="G28" s="85">
        <v>7.6</v>
      </c>
      <c r="H28" s="85">
        <f t="shared" si="0"/>
        <v>12996</v>
      </c>
    </row>
    <row r="29" spans="1:17" x14ac:dyDescent="0.25">
      <c r="A29" s="84" t="s">
        <v>210</v>
      </c>
      <c r="B29" s="40" t="s">
        <v>194</v>
      </c>
      <c r="C29" s="40" t="s">
        <v>12</v>
      </c>
      <c r="D29" s="34">
        <v>2060</v>
      </c>
      <c r="E29" s="35" t="s">
        <v>60</v>
      </c>
      <c r="F29" s="33" t="s">
        <v>79</v>
      </c>
      <c r="G29" s="85">
        <v>6.8</v>
      </c>
      <c r="H29" s="85">
        <f t="shared" si="0"/>
        <v>14008</v>
      </c>
    </row>
    <row r="30" spans="1:17" x14ac:dyDescent="0.25">
      <c r="A30" s="84" t="s">
        <v>210</v>
      </c>
      <c r="B30" s="40" t="s">
        <v>195</v>
      </c>
      <c r="C30" s="40" t="s">
        <v>64</v>
      </c>
      <c r="D30" s="34">
        <v>2200</v>
      </c>
      <c r="E30" s="33" t="s">
        <v>56</v>
      </c>
      <c r="F30" s="33" t="s">
        <v>211</v>
      </c>
      <c r="G30" s="85">
        <v>21</v>
      </c>
      <c r="H30" s="85">
        <f t="shared" si="0"/>
        <v>46200</v>
      </c>
    </row>
    <row r="31" spans="1:17" x14ac:dyDescent="0.25">
      <c r="A31" s="84" t="s">
        <v>210</v>
      </c>
      <c r="B31" s="40" t="s">
        <v>195</v>
      </c>
      <c r="C31" s="40" t="s">
        <v>58</v>
      </c>
      <c r="D31" s="34">
        <v>2720</v>
      </c>
      <c r="E31" s="33" t="s">
        <v>56</v>
      </c>
      <c r="F31" s="33" t="s">
        <v>57</v>
      </c>
      <c r="G31" s="85">
        <v>48</v>
      </c>
      <c r="H31" s="85">
        <f t="shared" si="0"/>
        <v>130560</v>
      </c>
    </row>
    <row r="32" spans="1:17" x14ac:dyDescent="0.25">
      <c r="A32" s="84" t="s">
        <v>210</v>
      </c>
      <c r="B32" s="40" t="s">
        <v>199</v>
      </c>
      <c r="C32" s="40" t="s">
        <v>12</v>
      </c>
      <c r="D32" s="34">
        <v>2770</v>
      </c>
      <c r="E32" s="35" t="s">
        <v>60</v>
      </c>
      <c r="F32" s="33" t="s">
        <v>74</v>
      </c>
      <c r="G32" s="85">
        <v>9.3000000000000007</v>
      </c>
      <c r="H32" s="85">
        <f t="shared" si="0"/>
        <v>25761.000000000004</v>
      </c>
    </row>
    <row r="33" spans="1:8" x14ac:dyDescent="0.25">
      <c r="A33" s="84" t="s">
        <v>210</v>
      </c>
      <c r="B33" s="40" t="s">
        <v>198</v>
      </c>
      <c r="C33" s="40" t="s">
        <v>62</v>
      </c>
      <c r="D33" s="34">
        <v>1950</v>
      </c>
      <c r="E33" s="35" t="s">
        <v>13</v>
      </c>
      <c r="F33" s="33" t="s">
        <v>26</v>
      </c>
      <c r="G33" s="85">
        <v>6.8</v>
      </c>
      <c r="H33" s="85">
        <f t="shared" si="0"/>
        <v>13260</v>
      </c>
    </row>
    <row r="34" spans="1:8" x14ac:dyDescent="0.25">
      <c r="A34" s="84" t="s">
        <v>210</v>
      </c>
      <c r="B34" s="40" t="s">
        <v>194</v>
      </c>
      <c r="C34" s="40" t="s">
        <v>12</v>
      </c>
      <c r="D34" s="34">
        <v>1510</v>
      </c>
      <c r="E34" s="35" t="s">
        <v>9</v>
      </c>
      <c r="F34" s="33" t="s">
        <v>10</v>
      </c>
      <c r="G34" s="85">
        <v>4.8</v>
      </c>
      <c r="H34" s="85">
        <f t="shared" si="0"/>
        <v>7248</v>
      </c>
    </row>
    <row r="35" spans="1:8" x14ac:dyDescent="0.25">
      <c r="A35" s="84" t="s">
        <v>210</v>
      </c>
      <c r="B35" s="40" t="s">
        <v>194</v>
      </c>
      <c r="C35" s="40" t="s">
        <v>62</v>
      </c>
      <c r="D35" s="34">
        <v>1630</v>
      </c>
      <c r="E35" s="33" t="s">
        <v>66</v>
      </c>
      <c r="F35" s="33" t="s">
        <v>81</v>
      </c>
      <c r="G35" s="85">
        <v>4.5</v>
      </c>
      <c r="H35" s="85">
        <f t="shared" si="0"/>
        <v>7335</v>
      </c>
    </row>
    <row r="36" spans="1:8" x14ac:dyDescent="0.25">
      <c r="A36" s="84" t="s">
        <v>210</v>
      </c>
      <c r="B36" s="40" t="s">
        <v>195</v>
      </c>
      <c r="C36" s="40" t="s">
        <v>62</v>
      </c>
      <c r="D36" s="34">
        <v>2930</v>
      </c>
      <c r="E36" s="35" t="s">
        <v>13</v>
      </c>
      <c r="F36" s="33" t="s">
        <v>43</v>
      </c>
      <c r="G36" s="85">
        <v>7.8</v>
      </c>
      <c r="H36" s="85">
        <f t="shared" si="0"/>
        <v>22854</v>
      </c>
    </row>
    <row r="37" spans="1:8" x14ac:dyDescent="0.25">
      <c r="A37" s="84" t="s">
        <v>210</v>
      </c>
      <c r="B37" s="40" t="s">
        <v>206</v>
      </c>
      <c r="C37" s="40" t="s">
        <v>68</v>
      </c>
      <c r="D37" s="34">
        <v>500</v>
      </c>
      <c r="E37" s="33" t="s">
        <v>66</v>
      </c>
      <c r="F37" s="33" t="s">
        <v>67</v>
      </c>
      <c r="G37" s="85">
        <v>15.96</v>
      </c>
      <c r="H37" s="85">
        <f t="shared" si="0"/>
        <v>7980</v>
      </c>
    </row>
    <row r="38" spans="1:8" x14ac:dyDescent="0.25">
      <c r="A38" s="84" t="s">
        <v>210</v>
      </c>
      <c r="B38" s="40" t="s">
        <v>195</v>
      </c>
      <c r="C38" s="40" t="s">
        <v>12</v>
      </c>
      <c r="D38" s="34">
        <v>2070</v>
      </c>
      <c r="E38" s="35" t="s">
        <v>60</v>
      </c>
      <c r="F38" s="33" t="s">
        <v>75</v>
      </c>
      <c r="G38" s="85">
        <v>7.8</v>
      </c>
      <c r="H38" s="85">
        <f t="shared" si="0"/>
        <v>16146</v>
      </c>
    </row>
    <row r="39" spans="1:8" x14ac:dyDescent="0.25">
      <c r="A39" s="84" t="s">
        <v>210</v>
      </c>
      <c r="B39" s="40" t="s">
        <v>194</v>
      </c>
      <c r="C39" s="40" t="s">
        <v>62</v>
      </c>
      <c r="D39" s="34">
        <v>2810</v>
      </c>
      <c r="E39" s="35" t="s">
        <v>13</v>
      </c>
      <c r="F39" s="33" t="s">
        <v>42</v>
      </c>
      <c r="G39" s="85">
        <v>6</v>
      </c>
      <c r="H39" s="85">
        <f t="shared" si="0"/>
        <v>16860</v>
      </c>
    </row>
    <row r="40" spans="1:8" x14ac:dyDescent="0.25">
      <c r="A40" s="84" t="s">
        <v>212</v>
      </c>
      <c r="B40" s="40" t="s">
        <v>199</v>
      </c>
      <c r="C40" s="40" t="s">
        <v>62</v>
      </c>
      <c r="D40" s="34">
        <v>1680</v>
      </c>
      <c r="E40" s="35" t="s">
        <v>13</v>
      </c>
      <c r="F40" s="33" t="s">
        <v>16</v>
      </c>
      <c r="G40" s="85">
        <v>8.6999999999999993</v>
      </c>
      <c r="H40" s="85">
        <f t="shared" si="0"/>
        <v>14615.999999999998</v>
      </c>
    </row>
    <row r="41" spans="1:8" x14ac:dyDescent="0.25">
      <c r="A41" s="84" t="s">
        <v>212</v>
      </c>
      <c r="B41" s="40" t="s">
        <v>198</v>
      </c>
      <c r="C41" s="40" t="s">
        <v>12</v>
      </c>
      <c r="D41" s="34">
        <v>2670</v>
      </c>
      <c r="E41" s="35" t="s">
        <v>9</v>
      </c>
      <c r="F41" s="33" t="s">
        <v>35</v>
      </c>
      <c r="G41" s="85">
        <v>4.5</v>
      </c>
      <c r="H41" s="85">
        <f t="shared" si="0"/>
        <v>12015</v>
      </c>
    </row>
    <row r="42" spans="1:8" x14ac:dyDescent="0.25">
      <c r="A42" s="84" t="s">
        <v>212</v>
      </c>
      <c r="B42" s="40" t="s">
        <v>198</v>
      </c>
      <c r="C42" s="40" t="s">
        <v>58</v>
      </c>
      <c r="D42" s="34">
        <v>2960</v>
      </c>
      <c r="E42" s="33" t="s">
        <v>56</v>
      </c>
      <c r="F42" s="33" t="s">
        <v>83</v>
      </c>
      <c r="G42" s="85">
        <v>64</v>
      </c>
      <c r="H42" s="85">
        <f t="shared" si="0"/>
        <v>189440</v>
      </c>
    </row>
    <row r="43" spans="1:8" x14ac:dyDescent="0.25">
      <c r="A43" s="84" t="s">
        <v>212</v>
      </c>
      <c r="B43" s="40" t="s">
        <v>199</v>
      </c>
      <c r="C43" s="40" t="s">
        <v>58</v>
      </c>
      <c r="D43" s="34">
        <v>2350</v>
      </c>
      <c r="E43" s="33" t="s">
        <v>56</v>
      </c>
      <c r="F43" s="33" t="s">
        <v>80</v>
      </c>
      <c r="G43" s="85">
        <v>58</v>
      </c>
      <c r="H43" s="85">
        <f t="shared" si="0"/>
        <v>136300</v>
      </c>
    </row>
    <row r="44" spans="1:8" x14ac:dyDescent="0.25">
      <c r="A44" s="84" t="s">
        <v>212</v>
      </c>
      <c r="B44" s="40" t="s">
        <v>206</v>
      </c>
      <c r="C44" s="40" t="s">
        <v>58</v>
      </c>
      <c r="D44" s="34">
        <v>2520</v>
      </c>
      <c r="E44" s="33" t="s">
        <v>56</v>
      </c>
      <c r="F44" s="33" t="s">
        <v>59</v>
      </c>
      <c r="G44" s="85">
        <v>53</v>
      </c>
      <c r="H44" s="85">
        <f t="shared" si="0"/>
        <v>133560</v>
      </c>
    </row>
    <row r="45" spans="1:8" x14ac:dyDescent="0.25">
      <c r="A45" s="84" t="s">
        <v>213</v>
      </c>
      <c r="B45" s="40" t="s">
        <v>206</v>
      </c>
      <c r="C45" s="40" t="s">
        <v>12</v>
      </c>
      <c r="D45" s="34">
        <v>1640</v>
      </c>
      <c r="E45" s="35" t="s">
        <v>9</v>
      </c>
      <c r="F45" s="33" t="s">
        <v>17</v>
      </c>
      <c r="G45" s="85">
        <v>9.27</v>
      </c>
      <c r="H45" s="85">
        <f t="shared" si="0"/>
        <v>15202.8</v>
      </c>
    </row>
    <row r="46" spans="1:8" x14ac:dyDescent="0.25">
      <c r="A46" s="84" t="s">
        <v>213</v>
      </c>
      <c r="B46" s="40" t="s">
        <v>199</v>
      </c>
      <c r="C46" s="40" t="s">
        <v>12</v>
      </c>
      <c r="D46" s="34">
        <v>2850</v>
      </c>
      <c r="E46" s="35" t="s">
        <v>60</v>
      </c>
      <c r="F46" s="33" t="s">
        <v>85</v>
      </c>
      <c r="G46" s="85">
        <v>7.2</v>
      </c>
      <c r="H46" s="85">
        <f t="shared" si="0"/>
        <v>20520</v>
      </c>
    </row>
    <row r="47" spans="1:8" x14ac:dyDescent="0.25">
      <c r="A47" s="84" t="s">
        <v>213</v>
      </c>
      <c r="B47" s="40" t="s">
        <v>199</v>
      </c>
      <c r="C47" s="40" t="s">
        <v>64</v>
      </c>
      <c r="D47" s="34">
        <v>2880</v>
      </c>
      <c r="E47" s="33" t="s">
        <v>56</v>
      </c>
      <c r="F47" s="33" t="s">
        <v>82</v>
      </c>
      <c r="G47" s="85">
        <v>19.5</v>
      </c>
      <c r="H47" s="85">
        <f t="shared" si="0"/>
        <v>56160</v>
      </c>
    </row>
    <row r="48" spans="1:8" x14ac:dyDescent="0.25">
      <c r="A48" s="84" t="s">
        <v>213</v>
      </c>
      <c r="B48" s="40" t="s">
        <v>195</v>
      </c>
      <c r="C48" s="40" t="s">
        <v>62</v>
      </c>
      <c r="D48" s="34">
        <v>2210</v>
      </c>
      <c r="E48" s="35" t="s">
        <v>13</v>
      </c>
      <c r="F48" s="33" t="s">
        <v>28</v>
      </c>
      <c r="G48" s="85">
        <v>8</v>
      </c>
      <c r="H48" s="85">
        <f t="shared" si="0"/>
        <v>17680</v>
      </c>
    </row>
    <row r="49" spans="1:8" x14ac:dyDescent="0.25">
      <c r="A49" s="84" t="s">
        <v>214</v>
      </c>
      <c r="B49" s="40" t="s">
        <v>198</v>
      </c>
      <c r="C49" s="40" t="s">
        <v>12</v>
      </c>
      <c r="D49" s="34">
        <v>2290</v>
      </c>
      <c r="E49" s="35" t="s">
        <v>60</v>
      </c>
      <c r="F49" s="33" t="s">
        <v>78</v>
      </c>
      <c r="G49" s="85">
        <v>8.5</v>
      </c>
      <c r="H49" s="85">
        <f t="shared" si="0"/>
        <v>19465</v>
      </c>
    </row>
    <row r="50" spans="1:8" x14ac:dyDescent="0.25">
      <c r="A50" s="84" t="s">
        <v>214</v>
      </c>
      <c r="B50" s="40" t="s">
        <v>198</v>
      </c>
      <c r="C50" s="40" t="s">
        <v>62</v>
      </c>
      <c r="D50" s="34">
        <v>1790</v>
      </c>
      <c r="E50" s="35" t="s">
        <v>13</v>
      </c>
      <c r="F50" s="33" t="s">
        <v>21</v>
      </c>
      <c r="G50" s="85">
        <v>7.4</v>
      </c>
      <c r="H50" s="85">
        <f t="shared" si="0"/>
        <v>13246</v>
      </c>
    </row>
    <row r="51" spans="1:8" x14ac:dyDescent="0.25">
      <c r="A51" s="84" t="s">
        <v>215</v>
      </c>
      <c r="B51" s="40" t="s">
        <v>198</v>
      </c>
      <c r="C51" s="40" t="s">
        <v>12</v>
      </c>
      <c r="D51" s="34">
        <v>1650</v>
      </c>
      <c r="E51" s="35" t="s">
        <v>60</v>
      </c>
      <c r="F51" s="33" t="s">
        <v>77</v>
      </c>
      <c r="G51" s="85">
        <v>8.9</v>
      </c>
      <c r="H51" s="85">
        <f t="shared" si="0"/>
        <v>14685</v>
      </c>
    </row>
  </sheetData>
  <mergeCells count="19">
    <mergeCell ref="Q19:Q20"/>
    <mergeCell ref="Q15:Q16"/>
    <mergeCell ref="N14:P16"/>
    <mergeCell ref="N18:P20"/>
    <mergeCell ref="A1:H1"/>
    <mergeCell ref="J14:K16"/>
    <mergeCell ref="L15:L16"/>
    <mergeCell ref="J18:K20"/>
    <mergeCell ref="L19:L20"/>
    <mergeCell ref="N1:Q1"/>
    <mergeCell ref="J10:K12"/>
    <mergeCell ref="J6:K8"/>
    <mergeCell ref="J1:M1"/>
    <mergeCell ref="L7:L8"/>
    <mergeCell ref="L11:L12"/>
    <mergeCell ref="Q7:Q8"/>
    <mergeCell ref="N6:P8"/>
    <mergeCell ref="N10:P12"/>
    <mergeCell ref="Q11:Q1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Paint.Picture" shapeId="1025" r:id="rId4">
          <objectPr defaultSize="0" autoPict="0" r:id="rId5">
            <anchor moveWithCells="1">
              <from>
                <xdr:col>13</xdr:col>
                <xdr:colOff>342900</xdr:colOff>
                <xdr:row>2</xdr:row>
                <xdr:rowOff>123825</xdr:rowOff>
              </from>
              <to>
                <xdr:col>16</xdr:col>
                <xdr:colOff>438150</xdr:colOff>
                <xdr:row>2</xdr:row>
                <xdr:rowOff>419100</xdr:rowOff>
              </to>
            </anchor>
          </objectPr>
        </oleObject>
      </mc:Choice>
      <mc:Fallback>
        <oleObject progId="Paint.Picture" shapeId="102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1"/>
  <sheetViews>
    <sheetView showGridLines="0" tabSelected="1" topLeftCell="B1" zoomScale="110" zoomScaleNormal="110" workbookViewId="0">
      <selection activeCell="L23" sqref="L23:L24"/>
    </sheetView>
  </sheetViews>
  <sheetFormatPr baseColWidth="10" defaultColWidth="11.42578125" defaultRowHeight="15" x14ac:dyDescent="0.25"/>
  <cols>
    <col min="1" max="1" width="11.5703125" bestFit="1" customWidth="1"/>
    <col min="2" max="2" width="14.28515625" bestFit="1" customWidth="1"/>
    <col min="3" max="3" width="19.140625" customWidth="1"/>
    <col min="4" max="4" width="8.5703125" bestFit="1" customWidth="1"/>
    <col min="5" max="5" width="14.140625" bestFit="1" customWidth="1"/>
    <col min="6" max="6" width="28.7109375" bestFit="1" customWidth="1"/>
    <col min="7" max="8" width="14.85546875" customWidth="1"/>
    <col min="9" max="9" width="1.7109375" customWidth="1"/>
    <col min="10" max="11" width="20.28515625" customWidth="1"/>
    <col min="14" max="15" width="20.28515625" customWidth="1"/>
  </cols>
  <sheetData>
    <row r="1" spans="1:17" ht="39" customHeight="1" x14ac:dyDescent="0.25">
      <c r="A1" s="125" t="s">
        <v>187</v>
      </c>
      <c r="B1" s="126"/>
      <c r="C1" s="126"/>
      <c r="D1" s="126"/>
      <c r="E1" s="126"/>
      <c r="F1" s="126"/>
      <c r="G1" s="126"/>
      <c r="H1" s="126"/>
      <c r="J1" s="144" t="s">
        <v>216</v>
      </c>
      <c r="K1" s="144"/>
      <c r="L1" s="144"/>
      <c r="M1" s="144"/>
      <c r="N1" s="145" t="s">
        <v>217</v>
      </c>
      <c r="O1" s="145"/>
      <c r="P1" s="145"/>
    </row>
    <row r="2" spans="1:17" s="83" customFormat="1" ht="3.75" customHeight="1" x14ac:dyDescent="0.25">
      <c r="C2"/>
      <c r="D2"/>
      <c r="E2"/>
      <c r="F2"/>
      <c r="G2"/>
      <c r="H2"/>
      <c r="I2"/>
      <c r="K2"/>
      <c r="L2"/>
      <c r="M2"/>
      <c r="N2"/>
      <c r="O2"/>
      <c r="P2"/>
      <c r="Q2"/>
    </row>
    <row r="3" spans="1:17" s="43" customFormat="1" ht="45" customHeight="1" x14ac:dyDescent="0.25">
      <c r="A3" s="7" t="s">
        <v>190</v>
      </c>
      <c r="B3" s="7" t="s">
        <v>4</v>
      </c>
      <c r="C3" s="7" t="s">
        <v>6</v>
      </c>
      <c r="D3" s="7" t="s">
        <v>5</v>
      </c>
      <c r="E3" s="7" t="s">
        <v>2</v>
      </c>
      <c r="F3" s="7" t="s">
        <v>3</v>
      </c>
      <c r="G3" s="7" t="s">
        <v>191</v>
      </c>
      <c r="H3" s="7" t="s">
        <v>192</v>
      </c>
    </row>
    <row r="4" spans="1:17" ht="15" customHeight="1" x14ac:dyDescent="0.25">
      <c r="A4" s="84" t="s">
        <v>193</v>
      </c>
      <c r="B4" s="40" t="s">
        <v>198</v>
      </c>
      <c r="C4" s="40" t="s">
        <v>12</v>
      </c>
      <c r="D4" s="34">
        <v>1720</v>
      </c>
      <c r="E4" s="35" t="s">
        <v>9</v>
      </c>
      <c r="F4" s="33" t="s">
        <v>20</v>
      </c>
      <c r="G4" s="85">
        <v>9</v>
      </c>
      <c r="H4" s="85">
        <f t="shared" ref="H4:H51" si="0">D4*G4</f>
        <v>15480</v>
      </c>
      <c r="J4" s="43"/>
      <c r="K4" s="43"/>
      <c r="L4" s="43"/>
      <c r="M4" s="43"/>
      <c r="N4" s="43"/>
      <c r="O4" s="43"/>
      <c r="P4" s="43"/>
    </row>
    <row r="5" spans="1:17" ht="15" customHeight="1" x14ac:dyDescent="0.25">
      <c r="A5" s="84" t="s">
        <v>193</v>
      </c>
      <c r="B5" s="40" t="s">
        <v>194</v>
      </c>
      <c r="C5" s="40" t="s">
        <v>12</v>
      </c>
      <c r="D5" s="34">
        <v>1730</v>
      </c>
      <c r="E5" s="35" t="s">
        <v>60</v>
      </c>
      <c r="F5" s="33" t="s">
        <v>61</v>
      </c>
      <c r="G5" s="85">
        <v>8.1</v>
      </c>
      <c r="H5" s="85">
        <f t="shared" si="0"/>
        <v>14013</v>
      </c>
    </row>
    <row r="6" spans="1:17" ht="15" customHeight="1" x14ac:dyDescent="0.25">
      <c r="A6" s="84" t="s">
        <v>193</v>
      </c>
      <c r="B6" s="40" t="s">
        <v>199</v>
      </c>
      <c r="C6" s="40" t="s">
        <v>64</v>
      </c>
      <c r="D6" s="34">
        <v>2190</v>
      </c>
      <c r="E6" s="33" t="s">
        <v>56</v>
      </c>
      <c r="F6" s="33" t="s">
        <v>65</v>
      </c>
      <c r="G6" s="85">
        <v>16.5</v>
      </c>
      <c r="H6" s="85">
        <f t="shared" si="0"/>
        <v>36135</v>
      </c>
      <c r="J6" s="140" t="s">
        <v>196</v>
      </c>
      <c r="K6" s="140"/>
      <c r="L6" s="86" t="s">
        <v>13</v>
      </c>
      <c r="N6" s="143" t="s">
        <v>197</v>
      </c>
      <c r="O6" s="143"/>
      <c r="P6" s="86" t="s">
        <v>60</v>
      </c>
    </row>
    <row r="7" spans="1:17" x14ac:dyDescent="0.25">
      <c r="A7" s="84" t="s">
        <v>193</v>
      </c>
      <c r="B7" s="40" t="s">
        <v>199</v>
      </c>
      <c r="C7" s="40" t="s">
        <v>62</v>
      </c>
      <c r="D7" s="34">
        <v>2260</v>
      </c>
      <c r="E7" s="35" t="s">
        <v>13</v>
      </c>
      <c r="F7" s="33" t="s">
        <v>31</v>
      </c>
      <c r="G7" s="85">
        <v>9</v>
      </c>
      <c r="H7" s="85">
        <f t="shared" si="0"/>
        <v>20340</v>
      </c>
      <c r="J7" s="140"/>
      <c r="K7" s="140"/>
      <c r="L7" s="142"/>
      <c r="N7" s="143"/>
      <c r="O7" s="143"/>
      <c r="P7" s="142"/>
    </row>
    <row r="8" spans="1:17" ht="15" customHeight="1" x14ac:dyDescent="0.25">
      <c r="A8" s="84" t="s">
        <v>193</v>
      </c>
      <c r="B8" s="40" t="s">
        <v>194</v>
      </c>
      <c r="C8" s="40" t="s">
        <v>62</v>
      </c>
      <c r="D8" s="34">
        <v>2310</v>
      </c>
      <c r="E8" s="35" t="s">
        <v>13</v>
      </c>
      <c r="F8" s="33" t="s">
        <v>34</v>
      </c>
      <c r="G8" s="85">
        <v>8.1999999999999993</v>
      </c>
      <c r="H8" s="85">
        <f t="shared" si="0"/>
        <v>18942</v>
      </c>
      <c r="J8" s="140"/>
      <c r="K8" s="140"/>
      <c r="L8" s="142"/>
      <c r="N8" s="143"/>
      <c r="O8" s="143"/>
      <c r="P8" s="142"/>
    </row>
    <row r="9" spans="1:17" ht="15.75" x14ac:dyDescent="0.25">
      <c r="A9" s="84" t="s">
        <v>193</v>
      </c>
      <c r="B9" s="40" t="s">
        <v>198</v>
      </c>
      <c r="C9" s="40" t="s">
        <v>62</v>
      </c>
      <c r="D9" s="34">
        <v>2460</v>
      </c>
      <c r="E9" s="35" t="s">
        <v>13</v>
      </c>
      <c r="F9" s="33" t="s">
        <v>36</v>
      </c>
      <c r="G9" s="85">
        <v>9.1999999999999993</v>
      </c>
      <c r="H9" s="85">
        <f t="shared" si="0"/>
        <v>22632</v>
      </c>
      <c r="J9" s="30"/>
      <c r="K9" s="30"/>
      <c r="L9" s="88"/>
      <c r="N9" s="31"/>
      <c r="O9" s="31"/>
      <c r="P9" s="88"/>
    </row>
    <row r="10" spans="1:17" ht="15.75" x14ac:dyDescent="0.25">
      <c r="A10" s="84" t="s">
        <v>193</v>
      </c>
      <c r="B10" s="40" t="s">
        <v>194</v>
      </c>
      <c r="C10" s="40" t="s">
        <v>12</v>
      </c>
      <c r="D10" s="34">
        <v>2720</v>
      </c>
      <c r="E10" s="33" t="s">
        <v>9</v>
      </c>
      <c r="F10" s="33" t="s">
        <v>38</v>
      </c>
      <c r="G10" s="85">
        <v>5.68</v>
      </c>
      <c r="H10" s="85">
        <f t="shared" si="0"/>
        <v>15449.599999999999</v>
      </c>
      <c r="J10" s="87"/>
      <c r="K10" s="87"/>
      <c r="L10" s="86" t="s">
        <v>1274</v>
      </c>
      <c r="O10" s="29"/>
      <c r="P10" s="86" t="s">
        <v>213</v>
      </c>
    </row>
    <row r="11" spans="1:17" ht="15.75" x14ac:dyDescent="0.25">
      <c r="A11" s="84" t="s">
        <v>193</v>
      </c>
      <c r="B11" s="40" t="s">
        <v>194</v>
      </c>
      <c r="C11" s="40" t="s">
        <v>62</v>
      </c>
      <c r="D11" s="34">
        <v>2740</v>
      </c>
      <c r="E11" s="35" t="s">
        <v>13</v>
      </c>
      <c r="F11" s="33" t="s">
        <v>41</v>
      </c>
      <c r="G11" s="85">
        <v>9.4</v>
      </c>
      <c r="H11" s="85">
        <f t="shared" si="0"/>
        <v>25756</v>
      </c>
      <c r="J11" s="140" t="s">
        <v>218</v>
      </c>
      <c r="K11" s="140"/>
      <c r="L11" s="89" t="s">
        <v>66</v>
      </c>
      <c r="N11" s="143" t="s">
        <v>219</v>
      </c>
      <c r="O11" s="143"/>
      <c r="P11" s="89"/>
    </row>
    <row r="12" spans="1:17" ht="15" customHeight="1" x14ac:dyDescent="0.25">
      <c r="A12" s="84" t="s">
        <v>193</v>
      </c>
      <c r="B12" s="40" t="s">
        <v>195</v>
      </c>
      <c r="C12" s="40" t="s">
        <v>64</v>
      </c>
      <c r="D12" s="34">
        <v>2900</v>
      </c>
      <c r="E12" s="33" t="s">
        <v>66</v>
      </c>
      <c r="F12" s="33" t="s">
        <v>69</v>
      </c>
      <c r="G12" s="85">
        <v>7.5</v>
      </c>
      <c r="H12" s="85">
        <f t="shared" si="0"/>
        <v>21750</v>
      </c>
      <c r="J12" s="140"/>
      <c r="K12" s="140"/>
      <c r="L12" s="142"/>
      <c r="N12" s="143"/>
      <c r="O12" s="143"/>
      <c r="P12" s="142"/>
    </row>
    <row r="13" spans="1:17" x14ac:dyDescent="0.25">
      <c r="A13" s="84" t="s">
        <v>203</v>
      </c>
      <c r="B13" s="40" t="s">
        <v>195</v>
      </c>
      <c r="C13" s="40" t="s">
        <v>68</v>
      </c>
      <c r="D13" s="34">
        <v>500</v>
      </c>
      <c r="E13" s="33" t="s">
        <v>66</v>
      </c>
      <c r="F13" s="33" t="s">
        <v>73</v>
      </c>
      <c r="G13" s="85">
        <v>16.12</v>
      </c>
      <c r="H13" s="85">
        <f t="shared" si="0"/>
        <v>8060.0000000000009</v>
      </c>
      <c r="J13" s="140"/>
      <c r="K13" s="140"/>
      <c r="L13" s="142"/>
      <c r="N13" s="143"/>
      <c r="O13" s="143"/>
      <c r="P13" s="142"/>
    </row>
    <row r="14" spans="1:17" ht="15.75" x14ac:dyDescent="0.25">
      <c r="A14" s="84" t="s">
        <v>203</v>
      </c>
      <c r="B14" s="40" t="s">
        <v>195</v>
      </c>
      <c r="C14" s="40" t="s">
        <v>64</v>
      </c>
      <c r="D14" s="34">
        <v>2830</v>
      </c>
      <c r="E14" s="33" t="s">
        <v>56</v>
      </c>
      <c r="F14" s="33" t="s">
        <v>84</v>
      </c>
      <c r="G14" s="85">
        <v>18.75</v>
      </c>
      <c r="H14" s="85">
        <f t="shared" si="0"/>
        <v>53062.5</v>
      </c>
      <c r="J14" s="30"/>
      <c r="K14" s="30"/>
      <c r="L14" s="88"/>
      <c r="N14" s="31"/>
      <c r="O14" s="31"/>
      <c r="P14" s="88"/>
    </row>
    <row r="15" spans="1:17" ht="15.75" x14ac:dyDescent="0.25">
      <c r="A15" s="84" t="s">
        <v>209</v>
      </c>
      <c r="B15" s="40" t="s">
        <v>198</v>
      </c>
      <c r="C15" s="40" t="s">
        <v>12</v>
      </c>
      <c r="D15" s="34">
        <v>1540</v>
      </c>
      <c r="E15" s="35" t="s">
        <v>9</v>
      </c>
      <c r="F15" s="33" t="s">
        <v>15</v>
      </c>
      <c r="G15" s="85">
        <v>6.5</v>
      </c>
      <c r="H15" s="85">
        <f t="shared" si="0"/>
        <v>10010</v>
      </c>
      <c r="J15" s="87"/>
      <c r="K15" s="87"/>
      <c r="L15" s="86" t="s">
        <v>1282</v>
      </c>
      <c r="P15" s="86" t="s">
        <v>1280</v>
      </c>
    </row>
    <row r="16" spans="1:17" ht="15.75" x14ac:dyDescent="0.25">
      <c r="A16" s="84" t="s">
        <v>209</v>
      </c>
      <c r="B16" s="40" t="s">
        <v>206</v>
      </c>
      <c r="C16" s="40" t="s">
        <v>62</v>
      </c>
      <c r="D16" s="34">
        <v>1570</v>
      </c>
      <c r="E16" s="35" t="s">
        <v>13</v>
      </c>
      <c r="F16" s="33" t="s">
        <v>14</v>
      </c>
      <c r="G16" s="85">
        <v>6.5</v>
      </c>
      <c r="H16" s="85">
        <f t="shared" si="0"/>
        <v>10205</v>
      </c>
      <c r="J16" s="140" t="s">
        <v>220</v>
      </c>
      <c r="K16" s="140"/>
      <c r="L16" s="89" t="s">
        <v>1278</v>
      </c>
      <c r="N16" s="143" t="s">
        <v>221</v>
      </c>
      <c r="O16" s="143"/>
      <c r="P16" s="89" t="s">
        <v>1279</v>
      </c>
    </row>
    <row r="17" spans="1:16" ht="15" customHeight="1" x14ac:dyDescent="0.25">
      <c r="A17" s="84" t="s">
        <v>209</v>
      </c>
      <c r="B17" s="40" t="s">
        <v>194</v>
      </c>
      <c r="C17" s="40" t="s">
        <v>64</v>
      </c>
      <c r="D17" s="34">
        <v>1610</v>
      </c>
      <c r="E17" s="33" t="s">
        <v>56</v>
      </c>
      <c r="F17" s="33" t="s">
        <v>87</v>
      </c>
      <c r="G17" s="85">
        <v>18</v>
      </c>
      <c r="H17" s="85">
        <f t="shared" si="0"/>
        <v>28980</v>
      </c>
      <c r="J17" s="140"/>
      <c r="K17" s="140"/>
      <c r="L17" s="142">
        <f>SUMIFS(D4:D51,B4:B51,L15,G4:G51,L16)</f>
        <v>14720</v>
      </c>
      <c r="N17" s="143"/>
      <c r="O17" s="143"/>
      <c r="P17" s="142"/>
    </row>
    <row r="18" spans="1:16" x14ac:dyDescent="0.25">
      <c r="A18" s="84" t="s">
        <v>209</v>
      </c>
      <c r="B18" s="40" t="s">
        <v>199</v>
      </c>
      <c r="C18" s="40" t="s">
        <v>222</v>
      </c>
      <c r="D18" s="34">
        <v>1730</v>
      </c>
      <c r="E18" s="35" t="s">
        <v>9</v>
      </c>
      <c r="F18" s="33" t="s">
        <v>22</v>
      </c>
      <c r="G18" s="85">
        <v>144</v>
      </c>
      <c r="H18" s="85">
        <f t="shared" si="0"/>
        <v>249120</v>
      </c>
      <c r="J18" s="140"/>
      <c r="K18" s="140"/>
      <c r="L18" s="142"/>
      <c r="N18" s="143"/>
      <c r="O18" s="143"/>
      <c r="P18" s="142"/>
    </row>
    <row r="19" spans="1:16" ht="15.75" x14ac:dyDescent="0.25">
      <c r="A19" s="84" t="s">
        <v>209</v>
      </c>
      <c r="B19" s="40" t="s">
        <v>194</v>
      </c>
      <c r="C19" s="40" t="s">
        <v>62</v>
      </c>
      <c r="D19" s="34">
        <v>1940</v>
      </c>
      <c r="E19" s="35" t="s">
        <v>13</v>
      </c>
      <c r="F19" s="33" t="s">
        <v>23</v>
      </c>
      <c r="G19" s="85">
        <v>7.6</v>
      </c>
      <c r="H19" s="85">
        <f t="shared" si="0"/>
        <v>14744</v>
      </c>
      <c r="J19" s="30"/>
      <c r="K19" s="30"/>
      <c r="L19" s="88"/>
      <c r="N19" s="31"/>
      <c r="O19" s="31"/>
      <c r="P19" s="88"/>
    </row>
    <row r="20" spans="1:16" ht="15.75" x14ac:dyDescent="0.25">
      <c r="A20" s="84" t="s">
        <v>209</v>
      </c>
      <c r="B20" s="40" t="s">
        <v>195</v>
      </c>
      <c r="C20" s="40" t="s">
        <v>12</v>
      </c>
      <c r="D20" s="34">
        <v>1970</v>
      </c>
      <c r="E20" s="35" t="s">
        <v>60</v>
      </c>
      <c r="F20" s="33" t="s">
        <v>72</v>
      </c>
      <c r="G20" s="85">
        <v>9.5</v>
      </c>
      <c r="H20" s="85">
        <f t="shared" si="0"/>
        <v>18715</v>
      </c>
      <c r="J20" s="87"/>
      <c r="K20" s="87"/>
      <c r="L20" s="86" t="s">
        <v>1277</v>
      </c>
      <c r="P20" s="86" t="s">
        <v>9</v>
      </c>
    </row>
    <row r="21" spans="1:16" ht="15.75" x14ac:dyDescent="0.25">
      <c r="A21" s="84" t="s">
        <v>209</v>
      </c>
      <c r="B21" s="40" t="s">
        <v>195</v>
      </c>
      <c r="C21" s="40" t="s">
        <v>64</v>
      </c>
      <c r="D21" s="34">
        <v>2160</v>
      </c>
      <c r="E21" s="33" t="s">
        <v>56</v>
      </c>
      <c r="F21" s="33" t="s">
        <v>63</v>
      </c>
      <c r="G21" s="85">
        <v>16</v>
      </c>
      <c r="H21" s="85">
        <f t="shared" si="0"/>
        <v>34560</v>
      </c>
      <c r="J21" s="140" t="s">
        <v>223</v>
      </c>
      <c r="K21" s="140"/>
      <c r="L21" s="89" t="s">
        <v>9</v>
      </c>
      <c r="N21" s="143" t="s">
        <v>224</v>
      </c>
      <c r="O21" s="143"/>
      <c r="P21" s="89" t="s">
        <v>1277</v>
      </c>
    </row>
    <row r="22" spans="1:16" ht="15" customHeight="1" x14ac:dyDescent="0.25">
      <c r="A22" s="84" t="s">
        <v>209</v>
      </c>
      <c r="B22" s="40" t="s">
        <v>199</v>
      </c>
      <c r="C22" s="40" t="s">
        <v>12</v>
      </c>
      <c r="D22" s="34">
        <v>2400</v>
      </c>
      <c r="E22" s="35" t="s">
        <v>9</v>
      </c>
      <c r="F22" s="33" t="s">
        <v>24</v>
      </c>
      <c r="G22" s="85">
        <v>5.6</v>
      </c>
      <c r="H22" s="85">
        <f t="shared" si="0"/>
        <v>13440</v>
      </c>
      <c r="J22" s="140"/>
      <c r="K22" s="140"/>
      <c r="L22" s="159" t="s">
        <v>209</v>
      </c>
      <c r="N22" s="143"/>
      <c r="O22" s="143"/>
      <c r="P22" s="159" t="s">
        <v>193</v>
      </c>
    </row>
    <row r="23" spans="1:16" ht="15.75" x14ac:dyDescent="0.25">
      <c r="A23" s="84" t="s">
        <v>209</v>
      </c>
      <c r="B23" s="40" t="s">
        <v>206</v>
      </c>
      <c r="C23" s="40" t="s">
        <v>12</v>
      </c>
      <c r="D23" s="34">
        <v>2420</v>
      </c>
      <c r="E23" s="35" t="s">
        <v>9</v>
      </c>
      <c r="F23" s="33" t="s">
        <v>27</v>
      </c>
      <c r="G23" s="85">
        <v>7.9</v>
      </c>
      <c r="H23" s="85">
        <f t="shared" si="0"/>
        <v>19118</v>
      </c>
      <c r="J23" s="140"/>
      <c r="K23" s="140"/>
      <c r="L23" s="142" t="s">
        <v>1283</v>
      </c>
      <c r="N23" s="143"/>
      <c r="O23" s="143"/>
      <c r="P23" s="160" t="s">
        <v>1280</v>
      </c>
    </row>
    <row r="24" spans="1:16" x14ac:dyDescent="0.25">
      <c r="A24" s="84" t="s">
        <v>209</v>
      </c>
      <c r="B24" s="40" t="s">
        <v>198</v>
      </c>
      <c r="C24" s="40" t="s">
        <v>12</v>
      </c>
      <c r="D24" s="34">
        <v>2440</v>
      </c>
      <c r="E24" s="35" t="s">
        <v>9</v>
      </c>
      <c r="F24" s="33" t="s">
        <v>30</v>
      </c>
      <c r="G24" s="85">
        <v>7.2</v>
      </c>
      <c r="H24" s="85">
        <f t="shared" si="0"/>
        <v>17568</v>
      </c>
      <c r="L24" s="142"/>
      <c r="P24" s="142"/>
    </row>
    <row r="25" spans="1:16" ht="15.75" x14ac:dyDescent="0.25">
      <c r="A25" s="84" t="s">
        <v>209</v>
      </c>
      <c r="B25" s="40" t="s">
        <v>206</v>
      </c>
      <c r="C25" s="40" t="s">
        <v>62</v>
      </c>
      <c r="D25" s="34">
        <v>2640</v>
      </c>
      <c r="E25" s="35" t="s">
        <v>13</v>
      </c>
      <c r="F25" s="33" t="s">
        <v>39</v>
      </c>
      <c r="G25" s="85">
        <v>8.3000000000000007</v>
      </c>
      <c r="H25" s="85">
        <f t="shared" si="0"/>
        <v>21912.000000000004</v>
      </c>
      <c r="P25" s="142"/>
    </row>
    <row r="26" spans="1:16" x14ac:dyDescent="0.25">
      <c r="A26" s="84" t="s">
        <v>209</v>
      </c>
      <c r="B26" s="40" t="s">
        <v>195</v>
      </c>
      <c r="C26" s="40" t="s">
        <v>12</v>
      </c>
      <c r="D26" s="34">
        <v>2640</v>
      </c>
      <c r="E26" s="35" t="s">
        <v>9</v>
      </c>
      <c r="F26" s="33" t="s">
        <v>32</v>
      </c>
      <c r="G26" s="85">
        <v>8</v>
      </c>
      <c r="H26" s="85">
        <f t="shared" si="0"/>
        <v>21120</v>
      </c>
    </row>
    <row r="27" spans="1:16" x14ac:dyDescent="0.25">
      <c r="A27" s="84" t="s">
        <v>209</v>
      </c>
      <c r="B27" s="40" t="s">
        <v>198</v>
      </c>
      <c r="C27" s="40" t="s">
        <v>62</v>
      </c>
      <c r="D27" s="34">
        <v>2980</v>
      </c>
      <c r="E27" s="35" t="s">
        <v>13</v>
      </c>
      <c r="F27" s="33" t="s">
        <v>45</v>
      </c>
      <c r="G27" s="85">
        <v>7.5</v>
      </c>
      <c r="H27" s="85">
        <f t="shared" si="0"/>
        <v>22350</v>
      </c>
    </row>
    <row r="28" spans="1:16" x14ac:dyDescent="0.25">
      <c r="A28" s="84" t="s">
        <v>210</v>
      </c>
      <c r="B28" s="40" t="s">
        <v>206</v>
      </c>
      <c r="C28" s="40" t="s">
        <v>68</v>
      </c>
      <c r="D28" s="34">
        <v>500</v>
      </c>
      <c r="E28" s="33" t="s">
        <v>66</v>
      </c>
      <c r="F28" s="33" t="s">
        <v>67</v>
      </c>
      <c r="G28" s="85">
        <v>15.96</v>
      </c>
      <c r="H28" s="85">
        <f t="shared" si="0"/>
        <v>7980</v>
      </c>
    </row>
    <row r="29" spans="1:16" x14ac:dyDescent="0.25">
      <c r="A29" s="84" t="s">
        <v>210</v>
      </c>
      <c r="B29" s="40" t="s">
        <v>194</v>
      </c>
      <c r="C29" s="40" t="s">
        <v>12</v>
      </c>
      <c r="D29" s="34">
        <v>1510</v>
      </c>
      <c r="E29" s="35" t="s">
        <v>9</v>
      </c>
      <c r="F29" s="33" t="s">
        <v>10</v>
      </c>
      <c r="G29" s="85">
        <v>4.8</v>
      </c>
      <c r="H29" s="85">
        <f t="shared" si="0"/>
        <v>7248</v>
      </c>
    </row>
    <row r="30" spans="1:16" x14ac:dyDescent="0.25">
      <c r="A30" s="84" t="s">
        <v>210</v>
      </c>
      <c r="B30" s="40" t="s">
        <v>194</v>
      </c>
      <c r="C30" s="40" t="s">
        <v>62</v>
      </c>
      <c r="D30" s="34">
        <v>1630</v>
      </c>
      <c r="E30" s="33" t="s">
        <v>66</v>
      </c>
      <c r="F30" s="33" t="s">
        <v>81</v>
      </c>
      <c r="G30" s="85">
        <v>4.5</v>
      </c>
      <c r="H30" s="85">
        <f t="shared" si="0"/>
        <v>7335</v>
      </c>
    </row>
    <row r="31" spans="1:16" x14ac:dyDescent="0.25">
      <c r="A31" s="84" t="s">
        <v>210</v>
      </c>
      <c r="B31" s="40" t="s">
        <v>198</v>
      </c>
      <c r="C31" s="40" t="s">
        <v>62</v>
      </c>
      <c r="D31" s="34">
        <v>1710</v>
      </c>
      <c r="E31" s="35" t="s">
        <v>13</v>
      </c>
      <c r="F31" s="33" t="s">
        <v>18</v>
      </c>
      <c r="G31" s="85">
        <v>7.6</v>
      </c>
      <c r="H31" s="85">
        <f t="shared" si="0"/>
        <v>12996</v>
      </c>
    </row>
    <row r="32" spans="1:16" x14ac:dyDescent="0.25">
      <c r="A32" s="84" t="s">
        <v>210</v>
      </c>
      <c r="B32" s="40" t="s">
        <v>198</v>
      </c>
      <c r="C32" s="40" t="s">
        <v>62</v>
      </c>
      <c r="D32" s="34">
        <v>1950</v>
      </c>
      <c r="E32" s="35" t="s">
        <v>13</v>
      </c>
      <c r="F32" s="33" t="s">
        <v>26</v>
      </c>
      <c r="G32" s="85">
        <v>6.8</v>
      </c>
      <c r="H32" s="85">
        <f t="shared" si="0"/>
        <v>13260</v>
      </c>
    </row>
    <row r="33" spans="1:8" x14ac:dyDescent="0.25">
      <c r="A33" s="84" t="s">
        <v>210</v>
      </c>
      <c r="B33" s="40" t="s">
        <v>194</v>
      </c>
      <c r="C33" s="40" t="s">
        <v>12</v>
      </c>
      <c r="D33" s="34">
        <v>2060</v>
      </c>
      <c r="E33" s="35" t="s">
        <v>60</v>
      </c>
      <c r="F33" s="33" t="s">
        <v>79</v>
      </c>
      <c r="G33" s="85">
        <v>6.8</v>
      </c>
      <c r="H33" s="85">
        <f t="shared" si="0"/>
        <v>14008</v>
      </c>
    </row>
    <row r="34" spans="1:8" x14ac:dyDescent="0.25">
      <c r="A34" s="84" t="s">
        <v>210</v>
      </c>
      <c r="B34" s="40" t="s">
        <v>195</v>
      </c>
      <c r="C34" s="40" t="s">
        <v>12</v>
      </c>
      <c r="D34" s="34">
        <v>2070</v>
      </c>
      <c r="E34" s="35" t="s">
        <v>60</v>
      </c>
      <c r="F34" s="33" t="s">
        <v>75</v>
      </c>
      <c r="G34" s="85">
        <v>7.8</v>
      </c>
      <c r="H34" s="85">
        <f t="shared" si="0"/>
        <v>16146</v>
      </c>
    </row>
    <row r="35" spans="1:8" x14ac:dyDescent="0.25">
      <c r="A35" s="84" t="s">
        <v>210</v>
      </c>
      <c r="B35" s="40" t="s">
        <v>195</v>
      </c>
      <c r="C35" s="40" t="s">
        <v>64</v>
      </c>
      <c r="D35" s="34">
        <v>2200</v>
      </c>
      <c r="E35" s="33" t="s">
        <v>56</v>
      </c>
      <c r="F35" s="33" t="s">
        <v>211</v>
      </c>
      <c r="G35" s="85">
        <v>21</v>
      </c>
      <c r="H35" s="85">
        <f t="shared" si="0"/>
        <v>46200</v>
      </c>
    </row>
    <row r="36" spans="1:8" x14ac:dyDescent="0.25">
      <c r="A36" s="84" t="s">
        <v>210</v>
      </c>
      <c r="B36" s="40" t="s">
        <v>195</v>
      </c>
      <c r="C36" s="40" t="s">
        <v>58</v>
      </c>
      <c r="D36" s="34">
        <v>2720</v>
      </c>
      <c r="E36" s="33" t="s">
        <v>56</v>
      </c>
      <c r="F36" s="33" t="s">
        <v>57</v>
      </c>
      <c r="G36" s="85">
        <v>48</v>
      </c>
      <c r="H36" s="85">
        <f t="shared" si="0"/>
        <v>130560</v>
      </c>
    </row>
    <row r="37" spans="1:8" x14ac:dyDescent="0.25">
      <c r="A37" s="84" t="s">
        <v>210</v>
      </c>
      <c r="B37" s="40" t="s">
        <v>199</v>
      </c>
      <c r="C37" s="40" t="s">
        <v>12</v>
      </c>
      <c r="D37" s="34">
        <v>2770</v>
      </c>
      <c r="E37" s="35" t="s">
        <v>60</v>
      </c>
      <c r="F37" s="33" t="s">
        <v>74</v>
      </c>
      <c r="G37" s="85">
        <v>9.3000000000000007</v>
      </c>
      <c r="H37" s="85">
        <f t="shared" si="0"/>
        <v>25761.000000000004</v>
      </c>
    </row>
    <row r="38" spans="1:8" x14ac:dyDescent="0.25">
      <c r="A38" s="84" t="s">
        <v>210</v>
      </c>
      <c r="B38" s="40" t="s">
        <v>194</v>
      </c>
      <c r="C38" s="40" t="s">
        <v>62</v>
      </c>
      <c r="D38" s="34">
        <v>2810</v>
      </c>
      <c r="E38" s="35" t="s">
        <v>13</v>
      </c>
      <c r="F38" s="33" t="s">
        <v>42</v>
      </c>
      <c r="G38" s="85">
        <v>6</v>
      </c>
      <c r="H38" s="85">
        <f t="shared" si="0"/>
        <v>16860</v>
      </c>
    </row>
    <row r="39" spans="1:8" x14ac:dyDescent="0.25">
      <c r="A39" s="84" t="s">
        <v>210</v>
      </c>
      <c r="B39" s="40" t="s">
        <v>195</v>
      </c>
      <c r="C39" s="40" t="s">
        <v>62</v>
      </c>
      <c r="D39" s="34">
        <v>2930</v>
      </c>
      <c r="E39" s="35" t="s">
        <v>13</v>
      </c>
      <c r="F39" s="33" t="s">
        <v>43</v>
      </c>
      <c r="G39" s="85">
        <v>7.8</v>
      </c>
      <c r="H39" s="85">
        <f t="shared" si="0"/>
        <v>22854</v>
      </c>
    </row>
    <row r="40" spans="1:8" x14ac:dyDescent="0.25">
      <c r="A40" s="84" t="s">
        <v>212</v>
      </c>
      <c r="B40" s="40" t="s">
        <v>199</v>
      </c>
      <c r="C40" s="40" t="s">
        <v>62</v>
      </c>
      <c r="D40" s="34">
        <v>1680</v>
      </c>
      <c r="E40" s="35" t="s">
        <v>13</v>
      </c>
      <c r="F40" s="33" t="s">
        <v>16</v>
      </c>
      <c r="G40" s="85">
        <v>8.6999999999999993</v>
      </c>
      <c r="H40" s="85">
        <f t="shared" si="0"/>
        <v>14615.999999999998</v>
      </c>
    </row>
    <row r="41" spans="1:8" x14ac:dyDescent="0.25">
      <c r="A41" s="84" t="s">
        <v>212</v>
      </c>
      <c r="B41" s="40" t="s">
        <v>199</v>
      </c>
      <c r="C41" s="40" t="s">
        <v>58</v>
      </c>
      <c r="D41" s="34">
        <v>2350</v>
      </c>
      <c r="E41" s="33" t="s">
        <v>56</v>
      </c>
      <c r="F41" s="33" t="s">
        <v>80</v>
      </c>
      <c r="G41" s="85">
        <v>58</v>
      </c>
      <c r="H41" s="85">
        <f t="shared" si="0"/>
        <v>136300</v>
      </c>
    </row>
    <row r="42" spans="1:8" x14ac:dyDescent="0.25">
      <c r="A42" s="84" t="s">
        <v>212</v>
      </c>
      <c r="B42" s="40" t="s">
        <v>206</v>
      </c>
      <c r="C42" s="40" t="s">
        <v>58</v>
      </c>
      <c r="D42" s="34">
        <v>2520</v>
      </c>
      <c r="E42" s="33" t="s">
        <v>56</v>
      </c>
      <c r="F42" s="33" t="s">
        <v>59</v>
      </c>
      <c r="G42" s="85">
        <v>53</v>
      </c>
      <c r="H42" s="85">
        <f t="shared" si="0"/>
        <v>133560</v>
      </c>
    </row>
    <row r="43" spans="1:8" x14ac:dyDescent="0.25">
      <c r="A43" s="84" t="s">
        <v>212</v>
      </c>
      <c r="B43" s="40" t="s">
        <v>198</v>
      </c>
      <c r="C43" s="40" t="s">
        <v>12</v>
      </c>
      <c r="D43" s="34">
        <v>2670</v>
      </c>
      <c r="E43" s="35" t="s">
        <v>9</v>
      </c>
      <c r="F43" s="33" t="s">
        <v>35</v>
      </c>
      <c r="G43" s="85">
        <v>4.5</v>
      </c>
      <c r="H43" s="85">
        <f t="shared" si="0"/>
        <v>12015</v>
      </c>
    </row>
    <row r="44" spans="1:8" x14ac:dyDescent="0.25">
      <c r="A44" s="84" t="s">
        <v>212</v>
      </c>
      <c r="B44" s="40" t="s">
        <v>198</v>
      </c>
      <c r="C44" s="40" t="s">
        <v>58</v>
      </c>
      <c r="D44" s="34">
        <v>2960</v>
      </c>
      <c r="E44" s="33" t="s">
        <v>56</v>
      </c>
      <c r="F44" s="33" t="s">
        <v>83</v>
      </c>
      <c r="G44" s="85">
        <v>64</v>
      </c>
      <c r="H44" s="85">
        <f t="shared" si="0"/>
        <v>189440</v>
      </c>
    </row>
    <row r="45" spans="1:8" x14ac:dyDescent="0.25">
      <c r="A45" s="84" t="s">
        <v>213</v>
      </c>
      <c r="B45" s="40" t="s">
        <v>206</v>
      </c>
      <c r="C45" s="40" t="s">
        <v>12</v>
      </c>
      <c r="D45" s="34">
        <v>1640</v>
      </c>
      <c r="E45" s="35" t="s">
        <v>9</v>
      </c>
      <c r="F45" s="33" t="s">
        <v>17</v>
      </c>
      <c r="G45" s="85">
        <v>9.27</v>
      </c>
      <c r="H45" s="85">
        <f t="shared" si="0"/>
        <v>15202.8</v>
      </c>
    </row>
    <row r="46" spans="1:8" x14ac:dyDescent="0.25">
      <c r="A46" s="84" t="s">
        <v>213</v>
      </c>
      <c r="B46" s="40" t="s">
        <v>195</v>
      </c>
      <c r="C46" s="40" t="s">
        <v>62</v>
      </c>
      <c r="D46" s="34">
        <v>2210</v>
      </c>
      <c r="E46" s="35" t="s">
        <v>13</v>
      </c>
      <c r="F46" s="33" t="s">
        <v>28</v>
      </c>
      <c r="G46" s="85">
        <v>8</v>
      </c>
      <c r="H46" s="85">
        <f t="shared" si="0"/>
        <v>17680</v>
      </c>
    </row>
    <row r="47" spans="1:8" x14ac:dyDescent="0.25">
      <c r="A47" s="84" t="s">
        <v>213</v>
      </c>
      <c r="B47" s="40" t="s">
        <v>199</v>
      </c>
      <c r="C47" s="40" t="s">
        <v>12</v>
      </c>
      <c r="D47" s="34">
        <v>2850</v>
      </c>
      <c r="E47" s="35" t="s">
        <v>60</v>
      </c>
      <c r="F47" s="33" t="s">
        <v>85</v>
      </c>
      <c r="G47" s="85">
        <v>7.2</v>
      </c>
      <c r="H47" s="85">
        <f t="shared" si="0"/>
        <v>20520</v>
      </c>
    </row>
    <row r="48" spans="1:8" x14ac:dyDescent="0.25">
      <c r="A48" s="84" t="s">
        <v>213</v>
      </c>
      <c r="B48" s="40" t="s">
        <v>199</v>
      </c>
      <c r="C48" s="40" t="s">
        <v>64</v>
      </c>
      <c r="D48" s="34">
        <v>2880</v>
      </c>
      <c r="E48" s="33" t="s">
        <v>56</v>
      </c>
      <c r="F48" s="33" t="s">
        <v>82</v>
      </c>
      <c r="G48" s="85">
        <v>19.5</v>
      </c>
      <c r="H48" s="85">
        <f t="shared" si="0"/>
        <v>56160</v>
      </c>
    </row>
    <row r="49" spans="1:8" x14ac:dyDescent="0.25">
      <c r="A49" s="84" t="s">
        <v>214</v>
      </c>
      <c r="B49" s="40" t="s">
        <v>198</v>
      </c>
      <c r="C49" s="40" t="s">
        <v>62</v>
      </c>
      <c r="D49" s="34">
        <v>1790</v>
      </c>
      <c r="E49" s="35" t="s">
        <v>13</v>
      </c>
      <c r="F49" s="33" t="s">
        <v>21</v>
      </c>
      <c r="G49" s="85">
        <v>7.4</v>
      </c>
      <c r="H49" s="85">
        <f t="shared" si="0"/>
        <v>13246</v>
      </c>
    </row>
    <row r="50" spans="1:8" x14ac:dyDescent="0.25">
      <c r="A50" s="84" t="s">
        <v>214</v>
      </c>
      <c r="B50" s="40" t="s">
        <v>198</v>
      </c>
      <c r="C50" s="40" t="s">
        <v>12</v>
      </c>
      <c r="D50" s="34">
        <v>2290</v>
      </c>
      <c r="E50" s="35" t="s">
        <v>60</v>
      </c>
      <c r="F50" s="33" t="s">
        <v>78</v>
      </c>
      <c r="G50" s="85">
        <v>8.5</v>
      </c>
      <c r="H50" s="85">
        <f t="shared" si="0"/>
        <v>19465</v>
      </c>
    </row>
    <row r="51" spans="1:8" x14ac:dyDescent="0.25">
      <c r="A51" s="84" t="s">
        <v>215</v>
      </c>
      <c r="B51" s="40" t="s">
        <v>198</v>
      </c>
      <c r="C51" s="40" t="s">
        <v>12</v>
      </c>
      <c r="D51" s="34">
        <v>1650</v>
      </c>
      <c r="E51" s="35" t="s">
        <v>60</v>
      </c>
      <c r="F51" s="33" t="s">
        <v>77</v>
      </c>
      <c r="G51" s="85">
        <v>8.9</v>
      </c>
      <c r="H51" s="85">
        <f t="shared" si="0"/>
        <v>14685</v>
      </c>
    </row>
  </sheetData>
  <sortState ref="A4:H51">
    <sortCondition ref="A4:A51" customList="Enero,Febrero,Marzo,Abril,Mayo,Junio,Julio,Agosto,Setiembre,Octubre,Noviembre,Diciembre"/>
  </sortState>
  <mergeCells count="19">
    <mergeCell ref="A1:H1"/>
    <mergeCell ref="J1:M1"/>
    <mergeCell ref="N1:P1"/>
    <mergeCell ref="J6:K8"/>
    <mergeCell ref="N6:O8"/>
    <mergeCell ref="L7:L8"/>
    <mergeCell ref="P7:P8"/>
    <mergeCell ref="J21:K23"/>
    <mergeCell ref="N21:O23"/>
    <mergeCell ref="L23:L24"/>
    <mergeCell ref="P24:P25"/>
    <mergeCell ref="J11:K13"/>
    <mergeCell ref="N11:O13"/>
    <mergeCell ref="L12:L13"/>
    <mergeCell ref="P12:P13"/>
    <mergeCell ref="J16:K18"/>
    <mergeCell ref="N16:O18"/>
    <mergeCell ref="L17:L18"/>
    <mergeCell ref="P17:P18"/>
  </mergeCells>
  <phoneticPr fontId="2" type="noConversion"/>
  <pageMargins left="0.7" right="0.7" top="0.75" bottom="0.75" header="0.3" footer="0.3"/>
  <pageSetup paperSize="9" orientation="portrait" horizontalDpi="0" verticalDpi="0" r:id="rId1"/>
  <drawing r:id="rId2"/>
  <legacyDrawing r:id="rId3"/>
  <oleObjects>
    <mc:AlternateContent xmlns:mc="http://schemas.openxmlformats.org/markup-compatibility/2006">
      <mc:Choice Requires="x14">
        <oleObject progId="Paint.Picture" shapeId="16386" r:id="rId4">
          <objectPr defaultSize="0" autoPict="0" r:id="rId5">
            <anchor moveWithCells="1">
              <from>
                <xdr:col>13</xdr:col>
                <xdr:colOff>95250</xdr:colOff>
                <xdr:row>2</xdr:row>
                <xdr:rowOff>200025</xdr:rowOff>
              </from>
              <to>
                <xdr:col>15</xdr:col>
                <xdr:colOff>657225</xdr:colOff>
                <xdr:row>2</xdr:row>
                <xdr:rowOff>428625</xdr:rowOff>
              </to>
            </anchor>
          </objectPr>
        </oleObject>
      </mc:Choice>
      <mc:Fallback>
        <oleObject progId="Paint.Picture" shapeId="16386"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002"/>
  <sheetViews>
    <sheetView workbookViewId="0">
      <selection activeCell="H17" sqref="H17"/>
    </sheetView>
  </sheetViews>
  <sheetFormatPr baseColWidth="10" defaultColWidth="11.42578125" defaultRowHeight="15" x14ac:dyDescent="0.25"/>
  <cols>
    <col min="1" max="1" width="5" style="72" customWidth="1"/>
    <col min="2" max="2" width="18" style="72" bestFit="1" customWidth="1"/>
    <col min="3" max="3" width="10.140625" style="72" bestFit="1" customWidth="1"/>
    <col min="4" max="5" width="9" style="72" bestFit="1" customWidth="1"/>
    <col min="6" max="6" width="14.42578125" style="72" bestFit="1" customWidth="1"/>
    <col min="7" max="7" width="14.140625" style="72" bestFit="1" customWidth="1"/>
    <col min="8" max="8" width="11.7109375" style="72" bestFit="1" customWidth="1"/>
    <col min="9" max="9" width="13" style="72" bestFit="1" customWidth="1"/>
    <col min="10" max="10" width="18.28515625" style="72" bestFit="1" customWidth="1"/>
    <col min="11" max="11" width="19.42578125" style="72" bestFit="1" customWidth="1"/>
    <col min="12" max="12" width="22.5703125" style="72" customWidth="1"/>
    <col min="13" max="13" width="17.7109375" style="72" bestFit="1" customWidth="1"/>
    <col min="14" max="14" width="17.7109375" style="72" customWidth="1"/>
    <col min="15" max="15" width="2.7109375" style="72" customWidth="1"/>
    <col min="16" max="16" width="11.42578125" style="90"/>
    <col min="17" max="19" width="11.42578125" style="72"/>
    <col min="20" max="20" width="25.7109375" style="72" bestFit="1" customWidth="1"/>
    <col min="21" max="16384" width="11.42578125" style="72"/>
  </cols>
  <sheetData>
    <row r="2" spans="2:20" s="73" customFormat="1" ht="70.5" customHeight="1" x14ac:dyDescent="0.25">
      <c r="B2" s="81" t="s">
        <v>225</v>
      </c>
      <c r="C2" s="81" t="s">
        <v>226</v>
      </c>
      <c r="D2" s="81" t="s">
        <v>227</v>
      </c>
      <c r="E2" s="81" t="s">
        <v>228</v>
      </c>
      <c r="F2" s="81" t="s">
        <v>159</v>
      </c>
      <c r="G2" s="81" t="s">
        <v>229</v>
      </c>
      <c r="H2" s="81" t="s">
        <v>230</v>
      </c>
      <c r="I2" s="81" t="s">
        <v>231</v>
      </c>
      <c r="J2" s="81" t="s">
        <v>232</v>
      </c>
      <c r="K2" s="81" t="s">
        <v>233</v>
      </c>
      <c r="L2" s="81" t="s">
        <v>234</v>
      </c>
      <c r="M2" s="81" t="s">
        <v>235</v>
      </c>
      <c r="N2" s="80" t="s">
        <v>236</v>
      </c>
      <c r="P2" s="148" t="s">
        <v>237</v>
      </c>
      <c r="Q2" s="148"/>
      <c r="R2" s="148"/>
      <c r="S2" s="148"/>
      <c r="T2" s="148"/>
    </row>
    <row r="3" spans="2:20" x14ac:dyDescent="0.25">
      <c r="B3" s="74" t="s">
        <v>238</v>
      </c>
      <c r="C3" s="75">
        <v>67428148</v>
      </c>
      <c r="D3" s="75" t="s">
        <v>239</v>
      </c>
      <c r="E3" s="75">
        <v>39</v>
      </c>
      <c r="F3" s="75" t="s">
        <v>240</v>
      </c>
      <c r="G3" s="75" t="s">
        <v>241</v>
      </c>
      <c r="H3" s="75">
        <v>2</v>
      </c>
      <c r="I3" s="76">
        <v>2573</v>
      </c>
      <c r="J3" s="75" t="s">
        <v>242</v>
      </c>
      <c r="K3" s="77">
        <v>10</v>
      </c>
      <c r="L3" s="78" t="s">
        <v>243</v>
      </c>
      <c r="M3" s="75" t="s">
        <v>244</v>
      </c>
      <c r="N3" s="82">
        <v>7719</v>
      </c>
    </row>
    <row r="4" spans="2:20" ht="15.75" x14ac:dyDescent="0.2">
      <c r="B4" s="74" t="s">
        <v>245</v>
      </c>
      <c r="C4" s="75">
        <v>53496679</v>
      </c>
      <c r="D4" s="75" t="s">
        <v>239</v>
      </c>
      <c r="E4" s="75">
        <v>59</v>
      </c>
      <c r="F4" s="75" t="s">
        <v>246</v>
      </c>
      <c r="G4" s="75" t="s">
        <v>247</v>
      </c>
      <c r="H4" s="75">
        <v>4</v>
      </c>
      <c r="I4" s="76">
        <v>4626</v>
      </c>
      <c r="J4" s="75" t="s">
        <v>248</v>
      </c>
      <c r="K4" s="77">
        <v>10</v>
      </c>
      <c r="L4" s="78" t="s">
        <v>193</v>
      </c>
      <c r="M4" s="75" t="s">
        <v>244</v>
      </c>
      <c r="N4" s="82">
        <v>13878</v>
      </c>
      <c r="P4" s="91" t="s">
        <v>249</v>
      </c>
    </row>
    <row r="5" spans="2:20" ht="15.75" customHeight="1" x14ac:dyDescent="0.2">
      <c r="B5" s="74" t="s">
        <v>250</v>
      </c>
      <c r="C5" s="75">
        <v>27681976</v>
      </c>
      <c r="D5" s="75" t="s">
        <v>239</v>
      </c>
      <c r="E5" s="75">
        <v>48</v>
      </c>
      <c r="F5" s="75" t="s">
        <v>251</v>
      </c>
      <c r="G5" s="75" t="s">
        <v>252</v>
      </c>
      <c r="H5" s="75">
        <v>4</v>
      </c>
      <c r="I5" s="76">
        <v>6213</v>
      </c>
      <c r="J5" s="75" t="s">
        <v>248</v>
      </c>
      <c r="K5" s="77">
        <v>10</v>
      </c>
      <c r="L5" s="78" t="s">
        <v>243</v>
      </c>
      <c r="M5" s="75" t="s">
        <v>244</v>
      </c>
      <c r="N5" s="82">
        <v>18639</v>
      </c>
      <c r="P5" s="146"/>
      <c r="Q5" s="146"/>
      <c r="R5" s="146"/>
      <c r="S5" s="146"/>
      <c r="T5" s="92"/>
    </row>
    <row r="6" spans="2:20" ht="15.75" customHeight="1" x14ac:dyDescent="0.2">
      <c r="B6" s="74" t="s">
        <v>253</v>
      </c>
      <c r="C6" s="75">
        <v>44105645</v>
      </c>
      <c r="D6" s="75" t="s">
        <v>254</v>
      </c>
      <c r="E6" s="75">
        <v>22</v>
      </c>
      <c r="F6" s="75" t="s">
        <v>255</v>
      </c>
      <c r="G6" s="75" t="s">
        <v>252</v>
      </c>
      <c r="H6" s="75">
        <v>2</v>
      </c>
      <c r="I6" s="76">
        <v>8292</v>
      </c>
      <c r="J6" s="75" t="s">
        <v>256</v>
      </c>
      <c r="K6" s="77">
        <v>10</v>
      </c>
      <c r="L6" s="78" t="s">
        <v>210</v>
      </c>
      <c r="M6" s="75" t="s">
        <v>244</v>
      </c>
      <c r="N6" s="82">
        <v>24876</v>
      </c>
      <c r="P6" s="146"/>
      <c r="Q6" s="146"/>
      <c r="R6" s="146"/>
      <c r="S6" s="146"/>
      <c r="T6" s="149"/>
    </row>
    <row r="7" spans="2:20" ht="15.75" customHeight="1" x14ac:dyDescent="0.2">
      <c r="B7" s="74" t="s">
        <v>257</v>
      </c>
      <c r="C7" s="75">
        <v>22384586</v>
      </c>
      <c r="D7" s="75" t="s">
        <v>239</v>
      </c>
      <c r="E7" s="75">
        <v>25</v>
      </c>
      <c r="F7" s="75" t="s">
        <v>240</v>
      </c>
      <c r="G7" s="75" t="s">
        <v>258</v>
      </c>
      <c r="H7" s="75">
        <v>2</v>
      </c>
      <c r="I7" s="76">
        <v>8764</v>
      </c>
      <c r="J7" s="75" t="s">
        <v>256</v>
      </c>
      <c r="K7" s="77">
        <v>10</v>
      </c>
      <c r="L7" s="78" t="s">
        <v>214</v>
      </c>
      <c r="M7" s="75" t="s">
        <v>244</v>
      </c>
      <c r="N7" s="82">
        <v>26292</v>
      </c>
      <c r="P7" s="146"/>
      <c r="Q7" s="146"/>
      <c r="R7" s="146"/>
      <c r="S7" s="146"/>
      <c r="T7" s="150"/>
    </row>
    <row r="8" spans="2:20" ht="15.75" customHeight="1" x14ac:dyDescent="0.2">
      <c r="B8" s="74" t="s">
        <v>259</v>
      </c>
      <c r="C8" s="75">
        <v>37991170</v>
      </c>
      <c r="D8" s="75" t="s">
        <v>239</v>
      </c>
      <c r="E8" s="75">
        <v>44</v>
      </c>
      <c r="F8" s="75" t="s">
        <v>246</v>
      </c>
      <c r="G8" s="75" t="s">
        <v>247</v>
      </c>
      <c r="H8" s="75">
        <v>2</v>
      </c>
      <c r="I8" s="76">
        <v>9134</v>
      </c>
      <c r="J8" s="75" t="s">
        <v>248</v>
      </c>
      <c r="K8" s="77">
        <v>10</v>
      </c>
      <c r="L8" s="78" t="s">
        <v>215</v>
      </c>
      <c r="M8" s="75" t="s">
        <v>244</v>
      </c>
      <c r="N8" s="82">
        <v>27402</v>
      </c>
      <c r="P8" s="146"/>
      <c r="Q8" s="146"/>
      <c r="R8" s="146"/>
      <c r="S8" s="146"/>
      <c r="T8" s="151"/>
    </row>
    <row r="9" spans="2:20" ht="15.75" x14ac:dyDescent="0.2">
      <c r="B9" s="74" t="s">
        <v>260</v>
      </c>
      <c r="C9" s="75">
        <v>57556146</v>
      </c>
      <c r="D9" s="75" t="s">
        <v>239</v>
      </c>
      <c r="E9" s="75">
        <v>22</v>
      </c>
      <c r="F9" s="75" t="s">
        <v>251</v>
      </c>
      <c r="G9" s="75" t="s">
        <v>252</v>
      </c>
      <c r="H9" s="75">
        <v>1</v>
      </c>
      <c r="I9" s="76">
        <v>6841</v>
      </c>
      <c r="J9" s="75" t="s">
        <v>242</v>
      </c>
      <c r="K9" s="77">
        <v>10</v>
      </c>
      <c r="L9" s="78" t="s">
        <v>243</v>
      </c>
      <c r="M9" s="75" t="s">
        <v>244</v>
      </c>
      <c r="N9" s="82">
        <v>20523</v>
      </c>
      <c r="P9" s="91"/>
    </row>
    <row r="10" spans="2:20" ht="15.75" x14ac:dyDescent="0.2">
      <c r="B10" s="74" t="s">
        <v>261</v>
      </c>
      <c r="C10" s="75">
        <v>58054611</v>
      </c>
      <c r="D10" s="75" t="s">
        <v>254</v>
      </c>
      <c r="E10" s="75">
        <v>41</v>
      </c>
      <c r="F10" s="75" t="s">
        <v>251</v>
      </c>
      <c r="G10" s="75" t="s">
        <v>247</v>
      </c>
      <c r="H10" s="75">
        <v>0</v>
      </c>
      <c r="I10" s="76">
        <v>5909</v>
      </c>
      <c r="J10" s="75" t="s">
        <v>262</v>
      </c>
      <c r="K10" s="77">
        <v>10</v>
      </c>
      <c r="L10" s="78" t="s">
        <v>263</v>
      </c>
      <c r="M10" s="75" t="s">
        <v>244</v>
      </c>
      <c r="N10" s="82">
        <v>17727</v>
      </c>
      <c r="P10" s="91" t="s">
        <v>264</v>
      </c>
    </row>
    <row r="11" spans="2:20" ht="14.25" x14ac:dyDescent="0.2">
      <c r="B11" s="74" t="s">
        <v>265</v>
      </c>
      <c r="C11" s="75">
        <v>41052727</v>
      </c>
      <c r="D11" s="75" t="s">
        <v>254</v>
      </c>
      <c r="E11" s="75">
        <v>26</v>
      </c>
      <c r="F11" s="75" t="s">
        <v>240</v>
      </c>
      <c r="G11" s="75" t="s">
        <v>258</v>
      </c>
      <c r="H11" s="75">
        <v>2</v>
      </c>
      <c r="I11" s="76">
        <v>8703</v>
      </c>
      <c r="J11" s="75" t="s">
        <v>248</v>
      </c>
      <c r="K11" s="77">
        <v>10</v>
      </c>
      <c r="L11" s="78" t="s">
        <v>263</v>
      </c>
      <c r="M11" s="75" t="s">
        <v>244</v>
      </c>
      <c r="N11" s="82">
        <v>26109</v>
      </c>
      <c r="P11" s="146"/>
      <c r="Q11" s="146"/>
      <c r="R11" s="146"/>
      <c r="S11" s="146"/>
      <c r="T11" s="92"/>
    </row>
    <row r="12" spans="2:20" ht="14.25" x14ac:dyDescent="0.2">
      <c r="B12" s="74" t="s">
        <v>266</v>
      </c>
      <c r="C12" s="75">
        <v>58241518</v>
      </c>
      <c r="D12" s="75" t="s">
        <v>254</v>
      </c>
      <c r="E12" s="75">
        <v>21</v>
      </c>
      <c r="F12" s="75" t="s">
        <v>246</v>
      </c>
      <c r="G12" s="75" t="s">
        <v>258</v>
      </c>
      <c r="H12" s="75">
        <v>3</v>
      </c>
      <c r="I12" s="76">
        <v>7469</v>
      </c>
      <c r="J12" s="75" t="s">
        <v>248</v>
      </c>
      <c r="K12" s="77">
        <v>10</v>
      </c>
      <c r="L12" s="78" t="s">
        <v>209</v>
      </c>
      <c r="M12" s="75" t="s">
        <v>244</v>
      </c>
      <c r="N12" s="82">
        <v>22407</v>
      </c>
      <c r="P12" s="146"/>
      <c r="Q12" s="146"/>
      <c r="R12" s="146"/>
      <c r="S12" s="146"/>
      <c r="T12" s="149"/>
    </row>
    <row r="13" spans="2:20" ht="14.25" x14ac:dyDescent="0.2">
      <c r="B13" s="74" t="s">
        <v>267</v>
      </c>
      <c r="C13" s="75">
        <v>35627248</v>
      </c>
      <c r="D13" s="75" t="s">
        <v>254</v>
      </c>
      <c r="E13" s="75">
        <v>45</v>
      </c>
      <c r="F13" s="75" t="s">
        <v>240</v>
      </c>
      <c r="G13" s="75" t="s">
        <v>252</v>
      </c>
      <c r="H13" s="75">
        <v>3</v>
      </c>
      <c r="I13" s="76">
        <v>5015</v>
      </c>
      <c r="J13" s="75" t="s">
        <v>262</v>
      </c>
      <c r="K13" s="77">
        <v>10</v>
      </c>
      <c r="L13" s="78" t="s">
        <v>243</v>
      </c>
      <c r="M13" s="75" t="s">
        <v>244</v>
      </c>
      <c r="N13" s="82">
        <v>15045</v>
      </c>
      <c r="P13" s="146"/>
      <c r="Q13" s="146"/>
      <c r="R13" s="146"/>
      <c r="S13" s="146"/>
      <c r="T13" s="150"/>
    </row>
    <row r="14" spans="2:20" ht="14.25" x14ac:dyDescent="0.2">
      <c r="B14" s="74" t="s">
        <v>268</v>
      </c>
      <c r="C14" s="75">
        <v>37731864</v>
      </c>
      <c r="D14" s="75" t="s">
        <v>239</v>
      </c>
      <c r="E14" s="75">
        <v>60</v>
      </c>
      <c r="F14" s="75" t="s">
        <v>251</v>
      </c>
      <c r="G14" s="75" t="s">
        <v>252</v>
      </c>
      <c r="H14" s="75">
        <v>0</v>
      </c>
      <c r="I14" s="76">
        <v>4145</v>
      </c>
      <c r="J14" s="75" t="s">
        <v>269</v>
      </c>
      <c r="K14" s="77">
        <v>10</v>
      </c>
      <c r="L14" s="78" t="s">
        <v>213</v>
      </c>
      <c r="M14" s="75" t="s">
        <v>244</v>
      </c>
      <c r="N14" s="82">
        <v>12435</v>
      </c>
      <c r="P14" s="146"/>
      <c r="Q14" s="146"/>
      <c r="R14" s="146"/>
      <c r="S14" s="146"/>
      <c r="T14" s="151"/>
    </row>
    <row r="15" spans="2:20" ht="15.75" x14ac:dyDescent="0.2">
      <c r="B15" s="74" t="s">
        <v>270</v>
      </c>
      <c r="C15" s="75">
        <v>56360647</v>
      </c>
      <c r="D15" s="75" t="s">
        <v>239</v>
      </c>
      <c r="E15" s="75">
        <v>19</v>
      </c>
      <c r="F15" s="75" t="s">
        <v>240</v>
      </c>
      <c r="G15" s="75" t="s">
        <v>252</v>
      </c>
      <c r="H15" s="75">
        <v>0</v>
      </c>
      <c r="I15" s="76">
        <v>5192</v>
      </c>
      <c r="J15" s="75" t="s">
        <v>242</v>
      </c>
      <c r="K15" s="77">
        <v>10</v>
      </c>
      <c r="L15" s="78" t="s">
        <v>271</v>
      </c>
      <c r="M15" s="75" t="s">
        <v>244</v>
      </c>
      <c r="N15" s="82">
        <v>15576.000000000002</v>
      </c>
      <c r="P15" s="91"/>
    </row>
    <row r="16" spans="2:20" ht="15.75" x14ac:dyDescent="0.2">
      <c r="B16" s="74" t="s">
        <v>272</v>
      </c>
      <c r="C16" s="75">
        <v>65938303</v>
      </c>
      <c r="D16" s="75" t="s">
        <v>254</v>
      </c>
      <c r="E16" s="75">
        <v>57</v>
      </c>
      <c r="F16" s="75" t="s">
        <v>255</v>
      </c>
      <c r="G16" s="75" t="s">
        <v>258</v>
      </c>
      <c r="H16" s="75">
        <v>0</v>
      </c>
      <c r="I16" s="76">
        <v>5507</v>
      </c>
      <c r="J16" s="75" t="s">
        <v>242</v>
      </c>
      <c r="K16" s="77">
        <v>10</v>
      </c>
      <c r="L16" s="78" t="s">
        <v>210</v>
      </c>
      <c r="M16" s="75" t="s">
        <v>244</v>
      </c>
      <c r="N16" s="82">
        <v>16521</v>
      </c>
      <c r="P16" s="91" t="s">
        <v>273</v>
      </c>
    </row>
    <row r="17" spans="2:20" ht="14.25" x14ac:dyDescent="0.2">
      <c r="B17" s="74" t="s">
        <v>274</v>
      </c>
      <c r="C17" s="75">
        <v>69695118</v>
      </c>
      <c r="D17" s="75" t="s">
        <v>254</v>
      </c>
      <c r="E17" s="75">
        <v>47</v>
      </c>
      <c r="F17" s="75" t="s">
        <v>240</v>
      </c>
      <c r="G17" s="75" t="s">
        <v>247</v>
      </c>
      <c r="H17" s="75">
        <v>3</v>
      </c>
      <c r="I17" s="76">
        <v>3668</v>
      </c>
      <c r="J17" s="75" t="s">
        <v>262</v>
      </c>
      <c r="K17" s="77">
        <v>10</v>
      </c>
      <c r="L17" s="78" t="s">
        <v>212</v>
      </c>
      <c r="M17" s="75" t="s">
        <v>244</v>
      </c>
      <c r="N17" s="82">
        <v>11004</v>
      </c>
      <c r="P17" s="146"/>
      <c r="Q17" s="146"/>
      <c r="R17" s="146"/>
      <c r="S17" s="146"/>
      <c r="T17" s="92"/>
    </row>
    <row r="18" spans="2:20" ht="14.25" x14ac:dyDescent="0.2">
      <c r="B18" s="74" t="s">
        <v>275</v>
      </c>
      <c r="C18" s="75">
        <v>62424872</v>
      </c>
      <c r="D18" s="75" t="s">
        <v>239</v>
      </c>
      <c r="E18" s="75">
        <v>48</v>
      </c>
      <c r="F18" s="75" t="s">
        <v>255</v>
      </c>
      <c r="G18" s="75" t="s">
        <v>247</v>
      </c>
      <c r="H18" s="75">
        <v>1</v>
      </c>
      <c r="I18" s="76">
        <v>2186</v>
      </c>
      <c r="J18" s="75" t="s">
        <v>262</v>
      </c>
      <c r="K18" s="77">
        <v>10</v>
      </c>
      <c r="L18" s="78" t="s">
        <v>214</v>
      </c>
      <c r="M18" s="75" t="s">
        <v>244</v>
      </c>
      <c r="N18" s="82">
        <v>6558</v>
      </c>
      <c r="P18" s="146"/>
      <c r="Q18" s="146"/>
      <c r="R18" s="146"/>
      <c r="S18" s="146"/>
      <c r="T18" s="149"/>
    </row>
    <row r="19" spans="2:20" ht="14.25" x14ac:dyDescent="0.2">
      <c r="B19" s="74" t="s">
        <v>276</v>
      </c>
      <c r="C19" s="75">
        <v>52153208</v>
      </c>
      <c r="D19" s="75" t="s">
        <v>239</v>
      </c>
      <c r="E19" s="75">
        <v>47</v>
      </c>
      <c r="F19" s="75" t="s">
        <v>255</v>
      </c>
      <c r="G19" s="75" t="s">
        <v>241</v>
      </c>
      <c r="H19" s="75">
        <v>1</v>
      </c>
      <c r="I19" s="76">
        <v>9664</v>
      </c>
      <c r="J19" s="75" t="s">
        <v>269</v>
      </c>
      <c r="K19" s="77">
        <v>9</v>
      </c>
      <c r="L19" s="78" t="s">
        <v>243</v>
      </c>
      <c r="M19" s="75" t="s">
        <v>244</v>
      </c>
      <c r="N19" s="82">
        <v>26092.799999999999</v>
      </c>
      <c r="P19" s="146"/>
      <c r="Q19" s="146"/>
      <c r="R19" s="146"/>
      <c r="S19" s="146"/>
      <c r="T19" s="150"/>
    </row>
    <row r="20" spans="2:20" ht="14.25" x14ac:dyDescent="0.2">
      <c r="B20" s="74" t="s">
        <v>277</v>
      </c>
      <c r="C20" s="75">
        <v>54687954</v>
      </c>
      <c r="D20" s="75" t="s">
        <v>254</v>
      </c>
      <c r="E20" s="75">
        <v>48</v>
      </c>
      <c r="F20" s="75" t="s">
        <v>246</v>
      </c>
      <c r="G20" s="75" t="s">
        <v>258</v>
      </c>
      <c r="H20" s="75">
        <v>2</v>
      </c>
      <c r="I20" s="76">
        <v>8021</v>
      </c>
      <c r="J20" s="75" t="s">
        <v>269</v>
      </c>
      <c r="K20" s="77">
        <v>9</v>
      </c>
      <c r="L20" s="78" t="s">
        <v>203</v>
      </c>
      <c r="M20" s="75" t="s">
        <v>244</v>
      </c>
      <c r="N20" s="82">
        <v>21656.7</v>
      </c>
      <c r="P20" s="146"/>
      <c r="Q20" s="146"/>
      <c r="R20" s="146"/>
      <c r="S20" s="146"/>
      <c r="T20" s="151"/>
    </row>
    <row r="21" spans="2:20" ht="15.75" x14ac:dyDescent="0.2">
      <c r="B21" s="74" t="s">
        <v>278</v>
      </c>
      <c r="C21" s="75">
        <v>49524878</v>
      </c>
      <c r="D21" s="75" t="s">
        <v>254</v>
      </c>
      <c r="E21" s="75">
        <v>39</v>
      </c>
      <c r="F21" s="75" t="s">
        <v>251</v>
      </c>
      <c r="G21" s="75" t="s">
        <v>241</v>
      </c>
      <c r="H21" s="75">
        <v>3</v>
      </c>
      <c r="I21" s="76">
        <v>3763</v>
      </c>
      <c r="J21" s="75" t="s">
        <v>262</v>
      </c>
      <c r="K21" s="77">
        <v>9</v>
      </c>
      <c r="L21" s="78" t="s">
        <v>279</v>
      </c>
      <c r="M21" s="75" t="s">
        <v>244</v>
      </c>
      <c r="N21" s="82">
        <v>10160.1</v>
      </c>
      <c r="P21" s="91"/>
    </row>
    <row r="22" spans="2:20" ht="15.75" x14ac:dyDescent="0.2">
      <c r="B22" s="74" t="s">
        <v>280</v>
      </c>
      <c r="C22" s="75">
        <v>37620875</v>
      </c>
      <c r="D22" s="75" t="s">
        <v>239</v>
      </c>
      <c r="E22" s="75">
        <v>28</v>
      </c>
      <c r="F22" s="75" t="s">
        <v>246</v>
      </c>
      <c r="G22" s="75" t="s">
        <v>247</v>
      </c>
      <c r="H22" s="75">
        <v>2</v>
      </c>
      <c r="I22" s="76">
        <v>8934</v>
      </c>
      <c r="J22" s="75" t="s">
        <v>242</v>
      </c>
      <c r="K22" s="77">
        <v>9</v>
      </c>
      <c r="L22" s="78" t="s">
        <v>215</v>
      </c>
      <c r="M22" s="75" t="s">
        <v>244</v>
      </c>
      <c r="N22" s="82">
        <v>24121.8</v>
      </c>
      <c r="P22" s="91" t="s">
        <v>281</v>
      </c>
    </row>
    <row r="23" spans="2:20" ht="14.25" customHeight="1" x14ac:dyDescent="0.2">
      <c r="B23" s="74" t="s">
        <v>282</v>
      </c>
      <c r="C23" s="75">
        <v>64842109</v>
      </c>
      <c r="D23" s="75" t="s">
        <v>254</v>
      </c>
      <c r="E23" s="75">
        <v>39</v>
      </c>
      <c r="F23" s="75" t="s">
        <v>240</v>
      </c>
      <c r="G23" s="75" t="s">
        <v>247</v>
      </c>
      <c r="H23" s="75">
        <v>4</v>
      </c>
      <c r="I23" s="76">
        <v>2242</v>
      </c>
      <c r="J23" s="75" t="s">
        <v>256</v>
      </c>
      <c r="K23" s="77">
        <v>9</v>
      </c>
      <c r="L23" s="78" t="s">
        <v>215</v>
      </c>
      <c r="M23" s="75" t="s">
        <v>244</v>
      </c>
      <c r="N23" s="82">
        <v>6053.4</v>
      </c>
      <c r="P23" s="146"/>
      <c r="Q23" s="146"/>
      <c r="R23" s="146"/>
      <c r="S23" s="146"/>
      <c r="T23" s="92"/>
    </row>
    <row r="24" spans="2:20" ht="14.25" customHeight="1" x14ac:dyDescent="0.2">
      <c r="B24" s="74" t="s">
        <v>283</v>
      </c>
      <c r="C24" s="75">
        <v>22856454</v>
      </c>
      <c r="D24" s="75" t="s">
        <v>254</v>
      </c>
      <c r="E24" s="75">
        <v>51</v>
      </c>
      <c r="F24" s="75" t="s">
        <v>240</v>
      </c>
      <c r="G24" s="75" t="s">
        <v>258</v>
      </c>
      <c r="H24" s="75">
        <v>4</v>
      </c>
      <c r="I24" s="76">
        <v>5979</v>
      </c>
      <c r="J24" s="75" t="s">
        <v>256</v>
      </c>
      <c r="K24" s="77">
        <v>9</v>
      </c>
      <c r="L24" s="78" t="s">
        <v>243</v>
      </c>
      <c r="M24" s="75" t="s">
        <v>244</v>
      </c>
      <c r="N24" s="82">
        <v>16143.300000000001</v>
      </c>
      <c r="P24" s="146"/>
      <c r="Q24" s="146"/>
      <c r="R24" s="146"/>
      <c r="S24" s="146"/>
      <c r="T24" s="93"/>
    </row>
    <row r="25" spans="2:20" ht="14.25" customHeight="1" x14ac:dyDescent="0.2">
      <c r="B25" s="74" t="s">
        <v>284</v>
      </c>
      <c r="C25" s="75">
        <v>59672065</v>
      </c>
      <c r="D25" s="75" t="s">
        <v>254</v>
      </c>
      <c r="E25" s="75">
        <v>47</v>
      </c>
      <c r="F25" s="75" t="s">
        <v>251</v>
      </c>
      <c r="G25" s="75" t="s">
        <v>241</v>
      </c>
      <c r="H25" s="75">
        <v>2</v>
      </c>
      <c r="I25" s="76">
        <v>2929</v>
      </c>
      <c r="J25" s="75" t="s">
        <v>262</v>
      </c>
      <c r="K25" s="77">
        <v>9</v>
      </c>
      <c r="L25" s="78" t="s">
        <v>203</v>
      </c>
      <c r="M25" s="75" t="s">
        <v>244</v>
      </c>
      <c r="N25" s="82">
        <v>7908.3</v>
      </c>
      <c r="P25" s="146"/>
      <c r="Q25" s="146"/>
      <c r="R25" s="146"/>
      <c r="S25" s="146"/>
      <c r="T25" s="94"/>
    </row>
    <row r="26" spans="2:20" ht="14.25" customHeight="1" x14ac:dyDescent="0.2">
      <c r="B26" s="74" t="s">
        <v>285</v>
      </c>
      <c r="C26" s="75">
        <v>30963668</v>
      </c>
      <c r="D26" s="75" t="s">
        <v>254</v>
      </c>
      <c r="E26" s="75">
        <v>57</v>
      </c>
      <c r="F26" s="75" t="s">
        <v>255</v>
      </c>
      <c r="G26" s="75" t="s">
        <v>241</v>
      </c>
      <c r="H26" s="75">
        <v>4</v>
      </c>
      <c r="I26" s="76">
        <v>9584</v>
      </c>
      <c r="J26" s="75" t="s">
        <v>242</v>
      </c>
      <c r="K26" s="77">
        <v>8</v>
      </c>
      <c r="L26" s="78" t="s">
        <v>213</v>
      </c>
      <c r="M26" s="75" t="s">
        <v>244</v>
      </c>
      <c r="N26" s="82">
        <v>23001.600000000002</v>
      </c>
      <c r="P26" s="146"/>
      <c r="Q26" s="146"/>
      <c r="R26" s="146"/>
      <c r="S26" s="146"/>
      <c r="T26" s="147"/>
    </row>
    <row r="27" spans="2:20" ht="15.75" customHeight="1" x14ac:dyDescent="0.2">
      <c r="B27" s="74" t="s">
        <v>286</v>
      </c>
      <c r="C27" s="75">
        <v>35620688</v>
      </c>
      <c r="D27" s="75" t="s">
        <v>254</v>
      </c>
      <c r="E27" s="75">
        <v>29</v>
      </c>
      <c r="F27" s="75" t="s">
        <v>246</v>
      </c>
      <c r="G27" s="75" t="s">
        <v>258</v>
      </c>
      <c r="H27" s="75">
        <v>2</v>
      </c>
      <c r="I27" s="76">
        <v>9534</v>
      </c>
      <c r="J27" s="75" t="s">
        <v>262</v>
      </c>
      <c r="K27" s="77">
        <v>8</v>
      </c>
      <c r="L27" s="78" t="s">
        <v>263</v>
      </c>
      <c r="M27" s="75" t="s">
        <v>244</v>
      </c>
      <c r="N27" s="82">
        <v>22881.600000000002</v>
      </c>
      <c r="P27" s="146"/>
      <c r="Q27" s="146"/>
      <c r="R27" s="146"/>
      <c r="S27" s="146"/>
      <c r="T27" s="147"/>
    </row>
    <row r="28" spans="2:20" ht="15.75" x14ac:dyDescent="0.2">
      <c r="B28" s="74" t="s">
        <v>287</v>
      </c>
      <c r="C28" s="75">
        <v>58508419</v>
      </c>
      <c r="D28" s="75" t="s">
        <v>239</v>
      </c>
      <c r="E28" s="75">
        <v>49</v>
      </c>
      <c r="F28" s="75" t="s">
        <v>255</v>
      </c>
      <c r="G28" s="75" t="s">
        <v>241</v>
      </c>
      <c r="H28" s="75">
        <v>1</v>
      </c>
      <c r="I28" s="76">
        <v>8540</v>
      </c>
      <c r="J28" s="75" t="s">
        <v>256</v>
      </c>
      <c r="K28" s="77">
        <v>8</v>
      </c>
      <c r="L28" s="78" t="s">
        <v>210</v>
      </c>
      <c r="M28" s="75" t="s">
        <v>244</v>
      </c>
      <c r="N28" s="82">
        <v>20496</v>
      </c>
      <c r="P28" s="91"/>
    </row>
    <row r="29" spans="2:20" ht="15.75" x14ac:dyDescent="0.2">
      <c r="B29" s="74" t="s">
        <v>288</v>
      </c>
      <c r="C29" s="75">
        <v>47835066</v>
      </c>
      <c r="D29" s="75" t="s">
        <v>254</v>
      </c>
      <c r="E29" s="75">
        <v>44</v>
      </c>
      <c r="F29" s="75" t="s">
        <v>240</v>
      </c>
      <c r="G29" s="75" t="s">
        <v>258</v>
      </c>
      <c r="H29" s="75">
        <v>0</v>
      </c>
      <c r="I29" s="76">
        <v>9832</v>
      </c>
      <c r="J29" s="75" t="s">
        <v>242</v>
      </c>
      <c r="K29" s="77">
        <v>8</v>
      </c>
      <c r="L29" s="78" t="s">
        <v>210</v>
      </c>
      <c r="M29" s="75" t="s">
        <v>244</v>
      </c>
      <c r="N29" s="82">
        <v>23596.799999999999</v>
      </c>
      <c r="P29" s="91" t="s">
        <v>289</v>
      </c>
    </row>
    <row r="30" spans="2:20" ht="14.25" x14ac:dyDescent="0.2">
      <c r="B30" s="74" t="s">
        <v>290</v>
      </c>
      <c r="C30" s="75">
        <v>47789570</v>
      </c>
      <c r="D30" s="75" t="s">
        <v>239</v>
      </c>
      <c r="E30" s="75">
        <v>26</v>
      </c>
      <c r="F30" s="75" t="s">
        <v>255</v>
      </c>
      <c r="G30" s="75" t="s">
        <v>258</v>
      </c>
      <c r="H30" s="75">
        <v>1</v>
      </c>
      <c r="I30" s="76">
        <v>3833</v>
      </c>
      <c r="J30" s="75" t="s">
        <v>248</v>
      </c>
      <c r="K30" s="77">
        <v>8</v>
      </c>
      <c r="L30" s="78" t="s">
        <v>213</v>
      </c>
      <c r="M30" s="75" t="s">
        <v>244</v>
      </c>
      <c r="N30" s="82">
        <v>9199.1999999999989</v>
      </c>
      <c r="P30" s="146"/>
      <c r="Q30" s="146"/>
      <c r="R30" s="146"/>
      <c r="S30" s="146"/>
      <c r="T30" s="92"/>
    </row>
    <row r="31" spans="2:20" ht="14.25" x14ac:dyDescent="0.2">
      <c r="B31" s="74" t="s">
        <v>291</v>
      </c>
      <c r="C31" s="75">
        <v>50676749</v>
      </c>
      <c r="D31" s="75" t="s">
        <v>254</v>
      </c>
      <c r="E31" s="75">
        <v>58</v>
      </c>
      <c r="F31" s="75" t="s">
        <v>246</v>
      </c>
      <c r="G31" s="75" t="s">
        <v>247</v>
      </c>
      <c r="H31" s="75">
        <v>2</v>
      </c>
      <c r="I31" s="76">
        <v>7781</v>
      </c>
      <c r="J31" s="75" t="s">
        <v>269</v>
      </c>
      <c r="K31" s="77">
        <v>8</v>
      </c>
      <c r="L31" s="78" t="s">
        <v>212</v>
      </c>
      <c r="M31" s="75" t="s">
        <v>244</v>
      </c>
      <c r="N31" s="82">
        <v>18674.400000000001</v>
      </c>
      <c r="P31" s="146"/>
      <c r="Q31" s="146"/>
      <c r="R31" s="146"/>
      <c r="S31" s="146"/>
      <c r="T31" s="93"/>
    </row>
    <row r="32" spans="2:20" ht="14.25" x14ac:dyDescent="0.2">
      <c r="B32" s="74" t="s">
        <v>292</v>
      </c>
      <c r="C32" s="75">
        <v>63627400</v>
      </c>
      <c r="D32" s="75" t="s">
        <v>239</v>
      </c>
      <c r="E32" s="75">
        <v>60</v>
      </c>
      <c r="F32" s="75" t="s">
        <v>251</v>
      </c>
      <c r="G32" s="75" t="s">
        <v>252</v>
      </c>
      <c r="H32" s="75">
        <v>0</v>
      </c>
      <c r="I32" s="76">
        <v>4133</v>
      </c>
      <c r="J32" s="75" t="s">
        <v>248</v>
      </c>
      <c r="K32" s="77">
        <v>7</v>
      </c>
      <c r="L32" s="78" t="s">
        <v>215</v>
      </c>
      <c r="M32" s="75" t="s">
        <v>244</v>
      </c>
      <c r="N32" s="82">
        <v>8679.2999999999993</v>
      </c>
      <c r="P32" s="146"/>
      <c r="Q32" s="146"/>
      <c r="R32" s="146"/>
      <c r="S32" s="146"/>
      <c r="T32" s="94"/>
    </row>
    <row r="33" spans="2:20" ht="14.25" x14ac:dyDescent="0.2">
      <c r="B33" s="74" t="s">
        <v>293</v>
      </c>
      <c r="C33" s="75">
        <v>54335258</v>
      </c>
      <c r="D33" s="75" t="s">
        <v>239</v>
      </c>
      <c r="E33" s="75">
        <v>24</v>
      </c>
      <c r="F33" s="75" t="s">
        <v>255</v>
      </c>
      <c r="G33" s="75" t="s">
        <v>258</v>
      </c>
      <c r="H33" s="75">
        <v>4</v>
      </c>
      <c r="I33" s="76">
        <v>4795</v>
      </c>
      <c r="J33" s="75" t="s">
        <v>242</v>
      </c>
      <c r="K33" s="77">
        <v>7</v>
      </c>
      <c r="L33" s="78" t="s">
        <v>213</v>
      </c>
      <c r="M33" s="75" t="s">
        <v>244</v>
      </c>
      <c r="N33" s="82">
        <v>10069.5</v>
      </c>
      <c r="P33" s="146"/>
      <c r="Q33" s="146"/>
      <c r="R33" s="146"/>
      <c r="S33" s="146"/>
      <c r="T33" s="147"/>
    </row>
    <row r="34" spans="2:20" ht="14.25" x14ac:dyDescent="0.2">
      <c r="B34" s="74" t="s">
        <v>294</v>
      </c>
      <c r="C34" s="75">
        <v>24115567</v>
      </c>
      <c r="D34" s="75" t="s">
        <v>239</v>
      </c>
      <c r="E34" s="75">
        <v>30</v>
      </c>
      <c r="F34" s="75" t="s">
        <v>251</v>
      </c>
      <c r="G34" s="75" t="s">
        <v>247</v>
      </c>
      <c r="H34" s="75">
        <v>2</v>
      </c>
      <c r="I34" s="76">
        <v>7244</v>
      </c>
      <c r="J34" s="75" t="s">
        <v>242</v>
      </c>
      <c r="K34" s="77">
        <v>7</v>
      </c>
      <c r="L34" s="78" t="s">
        <v>271</v>
      </c>
      <c r="M34" s="75" t="s">
        <v>244</v>
      </c>
      <c r="N34" s="82">
        <v>15212.4</v>
      </c>
      <c r="P34" s="146"/>
      <c r="Q34" s="146"/>
      <c r="R34" s="146"/>
      <c r="S34" s="146"/>
      <c r="T34" s="147"/>
    </row>
    <row r="35" spans="2:20" ht="15.75" x14ac:dyDescent="0.2">
      <c r="B35" s="74" t="s">
        <v>295</v>
      </c>
      <c r="C35" s="75">
        <v>41432463</v>
      </c>
      <c r="D35" s="75" t="s">
        <v>254</v>
      </c>
      <c r="E35" s="75">
        <v>22</v>
      </c>
      <c r="F35" s="75" t="s">
        <v>240</v>
      </c>
      <c r="G35" s="75" t="s">
        <v>252</v>
      </c>
      <c r="H35" s="75">
        <v>1</v>
      </c>
      <c r="I35" s="76">
        <v>3937</v>
      </c>
      <c r="J35" s="75" t="s">
        <v>262</v>
      </c>
      <c r="K35" s="77">
        <v>7</v>
      </c>
      <c r="L35" s="78" t="s">
        <v>210</v>
      </c>
      <c r="M35" s="75" t="s">
        <v>244</v>
      </c>
      <c r="N35" s="82">
        <v>8267.6999999999989</v>
      </c>
      <c r="P35" s="91"/>
    </row>
    <row r="36" spans="2:20" ht="15.75" x14ac:dyDescent="0.2">
      <c r="B36" s="74" t="s">
        <v>296</v>
      </c>
      <c r="C36" s="75">
        <v>58527771</v>
      </c>
      <c r="D36" s="75" t="s">
        <v>254</v>
      </c>
      <c r="E36" s="75">
        <v>52</v>
      </c>
      <c r="F36" s="75" t="s">
        <v>255</v>
      </c>
      <c r="G36" s="75" t="s">
        <v>252</v>
      </c>
      <c r="H36" s="75">
        <v>0</v>
      </c>
      <c r="I36" s="76">
        <v>4247</v>
      </c>
      <c r="J36" s="75" t="s">
        <v>242</v>
      </c>
      <c r="K36" s="77">
        <v>7</v>
      </c>
      <c r="L36" s="78" t="s">
        <v>212</v>
      </c>
      <c r="M36" s="75" t="s">
        <v>244</v>
      </c>
      <c r="N36" s="82">
        <v>8918.7000000000007</v>
      </c>
      <c r="P36" s="91" t="s">
        <v>297</v>
      </c>
    </row>
    <row r="37" spans="2:20" ht="14.25" x14ac:dyDescent="0.2">
      <c r="B37" s="74" t="s">
        <v>298</v>
      </c>
      <c r="C37" s="75">
        <v>44313290</v>
      </c>
      <c r="D37" s="75" t="s">
        <v>254</v>
      </c>
      <c r="E37" s="75">
        <v>51</v>
      </c>
      <c r="F37" s="75" t="s">
        <v>246</v>
      </c>
      <c r="G37" s="75" t="s">
        <v>247</v>
      </c>
      <c r="H37" s="75">
        <v>2</v>
      </c>
      <c r="I37" s="76">
        <v>9568</v>
      </c>
      <c r="J37" s="75" t="s">
        <v>262</v>
      </c>
      <c r="K37" s="77">
        <v>7</v>
      </c>
      <c r="L37" s="78" t="s">
        <v>212</v>
      </c>
      <c r="M37" s="75" t="s">
        <v>244</v>
      </c>
      <c r="N37" s="82">
        <v>20092.8</v>
      </c>
      <c r="P37" s="146"/>
      <c r="Q37" s="146"/>
      <c r="R37" s="146"/>
      <c r="S37" s="146"/>
      <c r="T37" s="92"/>
    </row>
    <row r="38" spans="2:20" ht="14.25" x14ac:dyDescent="0.2">
      <c r="B38" s="74" t="s">
        <v>299</v>
      </c>
      <c r="C38" s="75">
        <v>27843699</v>
      </c>
      <c r="D38" s="75" t="s">
        <v>239</v>
      </c>
      <c r="E38" s="75">
        <v>53</v>
      </c>
      <c r="F38" s="75" t="s">
        <v>246</v>
      </c>
      <c r="G38" s="75" t="s">
        <v>241</v>
      </c>
      <c r="H38" s="75">
        <v>3</v>
      </c>
      <c r="I38" s="76">
        <v>8118</v>
      </c>
      <c r="J38" s="75" t="s">
        <v>262</v>
      </c>
      <c r="K38" s="77">
        <v>7</v>
      </c>
      <c r="L38" s="78" t="s">
        <v>209</v>
      </c>
      <c r="M38" s="75" t="s">
        <v>244</v>
      </c>
      <c r="N38" s="82">
        <v>17047.8</v>
      </c>
      <c r="P38" s="146"/>
      <c r="Q38" s="146"/>
      <c r="R38" s="146"/>
      <c r="S38" s="146"/>
      <c r="T38" s="93"/>
    </row>
    <row r="39" spans="2:20" ht="14.25" x14ac:dyDescent="0.2">
      <c r="B39" s="74" t="s">
        <v>300</v>
      </c>
      <c r="C39" s="75">
        <v>50813110</v>
      </c>
      <c r="D39" s="75" t="s">
        <v>254</v>
      </c>
      <c r="E39" s="75">
        <v>37</v>
      </c>
      <c r="F39" s="75" t="s">
        <v>246</v>
      </c>
      <c r="G39" s="75" t="s">
        <v>258</v>
      </c>
      <c r="H39" s="75">
        <v>0</v>
      </c>
      <c r="I39" s="76">
        <v>8185</v>
      </c>
      <c r="J39" s="75" t="s">
        <v>262</v>
      </c>
      <c r="K39" s="77">
        <v>7</v>
      </c>
      <c r="L39" s="78" t="s">
        <v>214</v>
      </c>
      <c r="M39" s="75" t="s">
        <v>244</v>
      </c>
      <c r="N39" s="82">
        <v>17188.5</v>
      </c>
      <c r="P39" s="146"/>
      <c r="Q39" s="146"/>
      <c r="R39" s="146"/>
      <c r="S39" s="146"/>
      <c r="T39" s="94"/>
    </row>
    <row r="40" spans="2:20" ht="14.25" x14ac:dyDescent="0.2">
      <c r="B40" s="74" t="s">
        <v>301</v>
      </c>
      <c r="C40" s="75">
        <v>49173367</v>
      </c>
      <c r="D40" s="75" t="s">
        <v>239</v>
      </c>
      <c r="E40" s="75">
        <v>47</v>
      </c>
      <c r="F40" s="75" t="s">
        <v>246</v>
      </c>
      <c r="G40" s="75" t="s">
        <v>252</v>
      </c>
      <c r="H40" s="75">
        <v>0</v>
      </c>
      <c r="I40" s="76">
        <v>3415</v>
      </c>
      <c r="J40" s="75" t="s">
        <v>248</v>
      </c>
      <c r="K40" s="77">
        <v>7</v>
      </c>
      <c r="L40" s="78" t="s">
        <v>213</v>
      </c>
      <c r="M40" s="75" t="s">
        <v>244</v>
      </c>
      <c r="N40" s="82">
        <v>7171.5</v>
      </c>
      <c r="P40" s="146"/>
      <c r="Q40" s="146"/>
      <c r="R40" s="146"/>
      <c r="S40" s="146"/>
      <c r="T40" s="147"/>
    </row>
    <row r="41" spans="2:20" ht="14.25" x14ac:dyDescent="0.2">
      <c r="B41" s="74" t="s">
        <v>302</v>
      </c>
      <c r="C41" s="75">
        <v>47164773</v>
      </c>
      <c r="D41" s="75" t="s">
        <v>239</v>
      </c>
      <c r="E41" s="75">
        <v>49</v>
      </c>
      <c r="F41" s="75" t="s">
        <v>240</v>
      </c>
      <c r="G41" s="75" t="s">
        <v>247</v>
      </c>
      <c r="H41" s="75">
        <v>2</v>
      </c>
      <c r="I41" s="76">
        <v>8175</v>
      </c>
      <c r="J41" s="75" t="s">
        <v>242</v>
      </c>
      <c r="K41" s="77">
        <v>7</v>
      </c>
      <c r="L41" s="78" t="s">
        <v>212</v>
      </c>
      <c r="M41" s="75" t="s">
        <v>244</v>
      </c>
      <c r="N41" s="82">
        <v>17167.5</v>
      </c>
      <c r="P41" s="146"/>
      <c r="Q41" s="146"/>
      <c r="R41" s="146"/>
      <c r="S41" s="146"/>
      <c r="T41" s="147"/>
    </row>
    <row r="42" spans="2:20" ht="15.75" x14ac:dyDescent="0.2">
      <c r="B42" s="74" t="s">
        <v>303</v>
      </c>
      <c r="C42" s="75">
        <v>68192430</v>
      </c>
      <c r="D42" s="75" t="s">
        <v>254</v>
      </c>
      <c r="E42" s="75">
        <v>42</v>
      </c>
      <c r="F42" s="75" t="s">
        <v>251</v>
      </c>
      <c r="G42" s="75" t="s">
        <v>241</v>
      </c>
      <c r="H42" s="75">
        <v>2</v>
      </c>
      <c r="I42" s="76">
        <v>3042</v>
      </c>
      <c r="J42" s="75" t="s">
        <v>242</v>
      </c>
      <c r="K42" s="77">
        <v>7</v>
      </c>
      <c r="L42" s="78" t="s">
        <v>209</v>
      </c>
      <c r="M42" s="75" t="s">
        <v>244</v>
      </c>
      <c r="N42" s="82">
        <v>6388.2</v>
      </c>
      <c r="P42" s="91"/>
    </row>
    <row r="43" spans="2:20" ht="15.75" x14ac:dyDescent="0.2">
      <c r="B43" s="74" t="s">
        <v>304</v>
      </c>
      <c r="C43" s="75">
        <v>22843751</v>
      </c>
      <c r="D43" s="75" t="s">
        <v>239</v>
      </c>
      <c r="E43" s="75">
        <v>48</v>
      </c>
      <c r="F43" s="75" t="s">
        <v>251</v>
      </c>
      <c r="G43" s="75" t="s">
        <v>252</v>
      </c>
      <c r="H43" s="75">
        <v>1</v>
      </c>
      <c r="I43" s="76">
        <v>2884</v>
      </c>
      <c r="J43" s="75" t="s">
        <v>262</v>
      </c>
      <c r="K43" s="77">
        <v>7</v>
      </c>
      <c r="L43" s="78" t="s">
        <v>203</v>
      </c>
      <c r="M43" s="75" t="s">
        <v>244</v>
      </c>
      <c r="N43" s="82">
        <v>6056.4</v>
      </c>
      <c r="P43" s="91" t="s">
        <v>305</v>
      </c>
    </row>
    <row r="44" spans="2:20" ht="14.25" x14ac:dyDescent="0.2">
      <c r="B44" s="74" t="s">
        <v>306</v>
      </c>
      <c r="C44" s="75">
        <v>50823467</v>
      </c>
      <c r="D44" s="75" t="s">
        <v>239</v>
      </c>
      <c r="E44" s="75">
        <v>54</v>
      </c>
      <c r="F44" s="75" t="s">
        <v>251</v>
      </c>
      <c r="G44" s="75" t="s">
        <v>258</v>
      </c>
      <c r="H44" s="75">
        <v>2</v>
      </c>
      <c r="I44" s="76">
        <v>8472</v>
      </c>
      <c r="J44" s="75" t="s">
        <v>256</v>
      </c>
      <c r="K44" s="77">
        <v>6</v>
      </c>
      <c r="L44" s="78" t="s">
        <v>215</v>
      </c>
      <c r="M44" s="75" t="s">
        <v>244</v>
      </c>
      <c r="N44" s="82">
        <v>15249.6</v>
      </c>
      <c r="P44" s="146"/>
      <c r="Q44" s="146"/>
      <c r="R44" s="146"/>
      <c r="S44" s="146"/>
      <c r="T44" s="92"/>
    </row>
    <row r="45" spans="2:20" ht="14.25" x14ac:dyDescent="0.2">
      <c r="B45" s="74" t="s">
        <v>307</v>
      </c>
      <c r="C45" s="75">
        <v>27676237</v>
      </c>
      <c r="D45" s="75" t="s">
        <v>254</v>
      </c>
      <c r="E45" s="75">
        <v>30</v>
      </c>
      <c r="F45" s="75" t="s">
        <v>246</v>
      </c>
      <c r="G45" s="75" t="s">
        <v>252</v>
      </c>
      <c r="H45" s="75">
        <v>4</v>
      </c>
      <c r="I45" s="76">
        <v>6979</v>
      </c>
      <c r="J45" s="75" t="s">
        <v>242</v>
      </c>
      <c r="K45" s="77">
        <v>6</v>
      </c>
      <c r="L45" s="78" t="s">
        <v>263</v>
      </c>
      <c r="M45" s="75" t="s">
        <v>244</v>
      </c>
      <c r="N45" s="82">
        <v>12562.2</v>
      </c>
      <c r="P45" s="146"/>
      <c r="Q45" s="146"/>
      <c r="R45" s="146"/>
      <c r="S45" s="146"/>
      <c r="T45" s="93"/>
    </row>
    <row r="46" spans="2:20" ht="14.25" x14ac:dyDescent="0.2">
      <c r="B46" s="74" t="s">
        <v>308</v>
      </c>
      <c r="C46" s="75">
        <v>23741618</v>
      </c>
      <c r="D46" s="75" t="s">
        <v>254</v>
      </c>
      <c r="E46" s="75">
        <v>29</v>
      </c>
      <c r="F46" s="75" t="s">
        <v>246</v>
      </c>
      <c r="G46" s="75" t="s">
        <v>258</v>
      </c>
      <c r="H46" s="75">
        <v>1</v>
      </c>
      <c r="I46" s="76">
        <v>6231</v>
      </c>
      <c r="J46" s="75" t="s">
        <v>256</v>
      </c>
      <c r="K46" s="77">
        <v>6</v>
      </c>
      <c r="L46" s="78" t="s">
        <v>213</v>
      </c>
      <c r="M46" s="75" t="s">
        <v>244</v>
      </c>
      <c r="N46" s="82">
        <v>11215.800000000001</v>
      </c>
      <c r="P46" s="146"/>
      <c r="Q46" s="146"/>
      <c r="R46" s="146"/>
      <c r="S46" s="146"/>
      <c r="T46" s="94"/>
    </row>
    <row r="47" spans="2:20" ht="14.25" x14ac:dyDescent="0.2">
      <c r="B47" s="74" t="s">
        <v>309</v>
      </c>
      <c r="C47" s="75">
        <v>40947504</v>
      </c>
      <c r="D47" s="75" t="s">
        <v>239</v>
      </c>
      <c r="E47" s="75">
        <v>43</v>
      </c>
      <c r="F47" s="75" t="s">
        <v>255</v>
      </c>
      <c r="G47" s="75" t="s">
        <v>258</v>
      </c>
      <c r="H47" s="75">
        <v>1</v>
      </c>
      <c r="I47" s="76">
        <v>8868</v>
      </c>
      <c r="J47" s="75" t="s">
        <v>256</v>
      </c>
      <c r="K47" s="77">
        <v>6</v>
      </c>
      <c r="L47" s="78" t="s">
        <v>263</v>
      </c>
      <c r="M47" s="75" t="s">
        <v>244</v>
      </c>
      <c r="N47" s="82">
        <v>15962.400000000001</v>
      </c>
      <c r="P47" s="146"/>
      <c r="Q47" s="146"/>
      <c r="R47" s="146"/>
      <c r="S47" s="146"/>
      <c r="T47" s="147"/>
    </row>
    <row r="48" spans="2:20" ht="14.25" x14ac:dyDescent="0.2">
      <c r="B48" s="74" t="s">
        <v>310</v>
      </c>
      <c r="C48" s="75">
        <v>63596135</v>
      </c>
      <c r="D48" s="75" t="s">
        <v>239</v>
      </c>
      <c r="E48" s="75">
        <v>63</v>
      </c>
      <c r="F48" s="75" t="s">
        <v>240</v>
      </c>
      <c r="G48" s="75" t="s">
        <v>252</v>
      </c>
      <c r="H48" s="75">
        <v>3</v>
      </c>
      <c r="I48" s="76">
        <v>5934</v>
      </c>
      <c r="J48" s="75" t="s">
        <v>256</v>
      </c>
      <c r="K48" s="77">
        <v>6</v>
      </c>
      <c r="L48" s="78" t="s">
        <v>210</v>
      </c>
      <c r="M48" s="75" t="s">
        <v>244</v>
      </c>
      <c r="N48" s="82">
        <v>10681.2</v>
      </c>
      <c r="P48" s="146"/>
      <c r="Q48" s="146"/>
      <c r="R48" s="146"/>
      <c r="S48" s="146"/>
      <c r="T48" s="147"/>
    </row>
    <row r="49" spans="2:20" ht="15.75" x14ac:dyDescent="0.2">
      <c r="B49" s="74" t="s">
        <v>311</v>
      </c>
      <c r="C49" s="75">
        <v>54920742</v>
      </c>
      <c r="D49" s="75" t="s">
        <v>239</v>
      </c>
      <c r="E49" s="75">
        <v>54</v>
      </c>
      <c r="F49" s="75" t="s">
        <v>240</v>
      </c>
      <c r="G49" s="75" t="s">
        <v>252</v>
      </c>
      <c r="H49" s="75">
        <v>2</v>
      </c>
      <c r="I49" s="76">
        <v>6710</v>
      </c>
      <c r="J49" s="75" t="s">
        <v>248</v>
      </c>
      <c r="K49" s="77">
        <v>6</v>
      </c>
      <c r="L49" s="78" t="s">
        <v>271</v>
      </c>
      <c r="M49" s="75" t="s">
        <v>244</v>
      </c>
      <c r="N49" s="82">
        <v>12078</v>
      </c>
      <c r="P49" s="91"/>
    </row>
    <row r="50" spans="2:20" ht="15.75" x14ac:dyDescent="0.2">
      <c r="B50" s="74" t="s">
        <v>312</v>
      </c>
      <c r="C50" s="75">
        <v>63738935</v>
      </c>
      <c r="D50" s="75" t="s">
        <v>254</v>
      </c>
      <c r="E50" s="75">
        <v>29</v>
      </c>
      <c r="F50" s="75" t="s">
        <v>251</v>
      </c>
      <c r="G50" s="75" t="s">
        <v>247</v>
      </c>
      <c r="H50" s="75">
        <v>2</v>
      </c>
      <c r="I50" s="76">
        <v>5741</v>
      </c>
      <c r="J50" s="75" t="s">
        <v>262</v>
      </c>
      <c r="K50" s="77">
        <v>6</v>
      </c>
      <c r="L50" s="78" t="s">
        <v>215</v>
      </c>
      <c r="M50" s="75" t="s">
        <v>244</v>
      </c>
      <c r="N50" s="82">
        <v>10333.799999999999</v>
      </c>
      <c r="P50" s="91" t="s">
        <v>313</v>
      </c>
    </row>
    <row r="51" spans="2:20" ht="14.25" x14ac:dyDescent="0.2">
      <c r="B51" s="74" t="s">
        <v>314</v>
      </c>
      <c r="C51" s="75">
        <v>38119814</v>
      </c>
      <c r="D51" s="75" t="s">
        <v>254</v>
      </c>
      <c r="E51" s="75">
        <v>54</v>
      </c>
      <c r="F51" s="75" t="s">
        <v>255</v>
      </c>
      <c r="G51" s="75" t="s">
        <v>252</v>
      </c>
      <c r="H51" s="75">
        <v>0</v>
      </c>
      <c r="I51" s="76">
        <v>8432</v>
      </c>
      <c r="J51" s="75" t="s">
        <v>242</v>
      </c>
      <c r="K51" s="77">
        <v>6</v>
      </c>
      <c r="L51" s="78" t="s">
        <v>263</v>
      </c>
      <c r="M51" s="75" t="s">
        <v>244</v>
      </c>
      <c r="N51" s="82">
        <v>15177.6</v>
      </c>
      <c r="P51" s="146"/>
      <c r="Q51" s="146"/>
      <c r="R51" s="146"/>
      <c r="S51" s="146"/>
      <c r="T51" s="92"/>
    </row>
    <row r="52" spans="2:20" ht="14.25" x14ac:dyDescent="0.2">
      <c r="B52" s="74" t="s">
        <v>315</v>
      </c>
      <c r="C52" s="75">
        <v>22466545</v>
      </c>
      <c r="D52" s="75" t="s">
        <v>239</v>
      </c>
      <c r="E52" s="75">
        <v>59</v>
      </c>
      <c r="F52" s="75" t="s">
        <v>246</v>
      </c>
      <c r="G52" s="75" t="s">
        <v>241</v>
      </c>
      <c r="H52" s="75">
        <v>0</v>
      </c>
      <c r="I52" s="76">
        <v>6971</v>
      </c>
      <c r="J52" s="75" t="s">
        <v>242</v>
      </c>
      <c r="K52" s="77">
        <v>6</v>
      </c>
      <c r="L52" s="78" t="s">
        <v>243</v>
      </c>
      <c r="M52" s="75" t="s">
        <v>244</v>
      </c>
      <c r="N52" s="82">
        <v>12547.8</v>
      </c>
      <c r="P52" s="146"/>
      <c r="Q52" s="146"/>
      <c r="R52" s="146"/>
      <c r="S52" s="146"/>
      <c r="T52" s="93"/>
    </row>
    <row r="53" spans="2:20" ht="14.25" x14ac:dyDescent="0.2">
      <c r="B53" s="74" t="s">
        <v>316</v>
      </c>
      <c r="C53" s="75">
        <v>27593854</v>
      </c>
      <c r="D53" s="75" t="s">
        <v>254</v>
      </c>
      <c r="E53" s="75">
        <v>58</v>
      </c>
      <c r="F53" s="75" t="s">
        <v>255</v>
      </c>
      <c r="G53" s="75" t="s">
        <v>252</v>
      </c>
      <c r="H53" s="75">
        <v>4</v>
      </c>
      <c r="I53" s="76">
        <v>5016</v>
      </c>
      <c r="J53" s="75" t="s">
        <v>269</v>
      </c>
      <c r="K53" s="77">
        <v>6</v>
      </c>
      <c r="L53" s="78" t="s">
        <v>279</v>
      </c>
      <c r="M53" s="75" t="s">
        <v>244</v>
      </c>
      <c r="N53" s="82">
        <v>9028.7999999999993</v>
      </c>
      <c r="P53" s="146"/>
      <c r="Q53" s="146"/>
      <c r="R53" s="146"/>
      <c r="S53" s="146"/>
      <c r="T53" s="94"/>
    </row>
    <row r="54" spans="2:20" ht="14.25" x14ac:dyDescent="0.2">
      <c r="B54" s="74" t="s">
        <v>317</v>
      </c>
      <c r="C54" s="75">
        <v>39743493</v>
      </c>
      <c r="D54" s="75" t="s">
        <v>239</v>
      </c>
      <c r="E54" s="75">
        <v>58</v>
      </c>
      <c r="F54" s="75" t="s">
        <v>255</v>
      </c>
      <c r="G54" s="75" t="s">
        <v>247</v>
      </c>
      <c r="H54" s="75">
        <v>1</v>
      </c>
      <c r="I54" s="76">
        <v>4338</v>
      </c>
      <c r="J54" s="75" t="s">
        <v>269</v>
      </c>
      <c r="K54" s="77">
        <v>6</v>
      </c>
      <c r="L54" s="78" t="s">
        <v>203</v>
      </c>
      <c r="M54" s="75" t="s">
        <v>244</v>
      </c>
      <c r="N54" s="82">
        <v>7808.4</v>
      </c>
      <c r="P54" s="146"/>
      <c r="Q54" s="146"/>
      <c r="R54" s="146"/>
      <c r="S54" s="146"/>
      <c r="T54" s="147"/>
    </row>
    <row r="55" spans="2:20" ht="14.25" x14ac:dyDescent="0.2">
      <c r="B55" s="74" t="s">
        <v>318</v>
      </c>
      <c r="C55" s="75">
        <v>50383201</v>
      </c>
      <c r="D55" s="75" t="s">
        <v>254</v>
      </c>
      <c r="E55" s="75">
        <v>30</v>
      </c>
      <c r="F55" s="75" t="s">
        <v>240</v>
      </c>
      <c r="G55" s="75" t="s">
        <v>247</v>
      </c>
      <c r="H55" s="75">
        <v>0</v>
      </c>
      <c r="I55" s="76">
        <v>2448</v>
      </c>
      <c r="J55" s="75" t="s">
        <v>256</v>
      </c>
      <c r="K55" s="77">
        <v>6</v>
      </c>
      <c r="L55" s="78" t="s">
        <v>243</v>
      </c>
      <c r="M55" s="75" t="s">
        <v>244</v>
      </c>
      <c r="N55" s="82">
        <v>4406.3999999999996</v>
      </c>
      <c r="P55" s="146"/>
      <c r="Q55" s="146"/>
      <c r="R55" s="146"/>
      <c r="S55" s="146"/>
      <c r="T55" s="147"/>
    </row>
    <row r="56" spans="2:20" x14ac:dyDescent="0.25">
      <c r="B56" s="74" t="s">
        <v>319</v>
      </c>
      <c r="C56" s="75">
        <v>63722147</v>
      </c>
      <c r="D56" s="75" t="s">
        <v>239</v>
      </c>
      <c r="E56" s="75">
        <v>31</v>
      </c>
      <c r="F56" s="75" t="s">
        <v>251</v>
      </c>
      <c r="G56" s="75" t="s">
        <v>252</v>
      </c>
      <c r="H56" s="75">
        <v>1</v>
      </c>
      <c r="I56" s="76">
        <v>9709</v>
      </c>
      <c r="J56" s="75" t="s">
        <v>242</v>
      </c>
      <c r="K56" s="77">
        <v>6</v>
      </c>
      <c r="L56" s="78" t="s">
        <v>203</v>
      </c>
      <c r="M56" s="75" t="s">
        <v>244</v>
      </c>
      <c r="N56" s="82">
        <v>17476.199999999997</v>
      </c>
    </row>
    <row r="57" spans="2:20" x14ac:dyDescent="0.25">
      <c r="B57" s="74" t="s">
        <v>320</v>
      </c>
      <c r="C57" s="75">
        <v>49571394</v>
      </c>
      <c r="D57" s="75" t="s">
        <v>239</v>
      </c>
      <c r="E57" s="75">
        <v>60</v>
      </c>
      <c r="F57" s="75" t="s">
        <v>251</v>
      </c>
      <c r="G57" s="75" t="s">
        <v>252</v>
      </c>
      <c r="H57" s="75">
        <v>0</v>
      </c>
      <c r="I57" s="76">
        <v>6737</v>
      </c>
      <c r="J57" s="75" t="s">
        <v>269</v>
      </c>
      <c r="K57" s="77">
        <v>6</v>
      </c>
      <c r="L57" s="78" t="s">
        <v>203</v>
      </c>
      <c r="M57" s="75" t="s">
        <v>244</v>
      </c>
      <c r="N57" s="82">
        <v>12126.6</v>
      </c>
    </row>
    <row r="58" spans="2:20" x14ac:dyDescent="0.25">
      <c r="B58" s="74" t="s">
        <v>321</v>
      </c>
      <c r="C58" s="75">
        <v>26327143</v>
      </c>
      <c r="D58" s="75" t="s">
        <v>239</v>
      </c>
      <c r="E58" s="75">
        <v>33</v>
      </c>
      <c r="F58" s="75" t="s">
        <v>246</v>
      </c>
      <c r="G58" s="75" t="s">
        <v>252</v>
      </c>
      <c r="H58" s="75">
        <v>2</v>
      </c>
      <c r="I58" s="76">
        <v>6591</v>
      </c>
      <c r="J58" s="75" t="s">
        <v>269</v>
      </c>
      <c r="K58" s="77">
        <v>6</v>
      </c>
      <c r="L58" s="78" t="s">
        <v>271</v>
      </c>
      <c r="M58" s="75" t="s">
        <v>244</v>
      </c>
      <c r="N58" s="82">
        <v>11863.8</v>
      </c>
    </row>
    <row r="59" spans="2:20" x14ac:dyDescent="0.25">
      <c r="B59" s="74" t="s">
        <v>322</v>
      </c>
      <c r="C59" s="75">
        <v>46562821</v>
      </c>
      <c r="D59" s="75" t="s">
        <v>239</v>
      </c>
      <c r="E59" s="75">
        <v>47</v>
      </c>
      <c r="F59" s="75" t="s">
        <v>251</v>
      </c>
      <c r="G59" s="75" t="s">
        <v>258</v>
      </c>
      <c r="H59" s="75">
        <v>3</v>
      </c>
      <c r="I59" s="76">
        <v>5707</v>
      </c>
      <c r="J59" s="75" t="s">
        <v>242</v>
      </c>
      <c r="K59" s="77">
        <v>6</v>
      </c>
      <c r="L59" s="78" t="s">
        <v>279</v>
      </c>
      <c r="M59" s="75" t="s">
        <v>244</v>
      </c>
      <c r="N59" s="82">
        <v>10272.6</v>
      </c>
    </row>
    <row r="60" spans="2:20" x14ac:dyDescent="0.25">
      <c r="B60" s="74" t="s">
        <v>323</v>
      </c>
      <c r="C60" s="75">
        <v>37396115</v>
      </c>
      <c r="D60" s="75" t="s">
        <v>239</v>
      </c>
      <c r="E60" s="75">
        <v>54</v>
      </c>
      <c r="F60" s="75" t="s">
        <v>251</v>
      </c>
      <c r="G60" s="75" t="s">
        <v>247</v>
      </c>
      <c r="H60" s="75">
        <v>1</v>
      </c>
      <c r="I60" s="76">
        <v>7964</v>
      </c>
      <c r="J60" s="75" t="s">
        <v>248</v>
      </c>
      <c r="K60" s="77">
        <v>6</v>
      </c>
      <c r="L60" s="78" t="s">
        <v>193</v>
      </c>
      <c r="M60" s="75" t="s">
        <v>244</v>
      </c>
      <c r="N60" s="82">
        <v>14335.199999999999</v>
      </c>
    </row>
    <row r="61" spans="2:20" x14ac:dyDescent="0.25">
      <c r="B61" s="74" t="s">
        <v>324</v>
      </c>
      <c r="C61" s="75">
        <v>22737820</v>
      </c>
      <c r="D61" s="75" t="s">
        <v>239</v>
      </c>
      <c r="E61" s="75">
        <v>25</v>
      </c>
      <c r="F61" s="75" t="s">
        <v>246</v>
      </c>
      <c r="G61" s="75" t="s">
        <v>252</v>
      </c>
      <c r="H61" s="75">
        <v>4</v>
      </c>
      <c r="I61" s="76">
        <v>3759</v>
      </c>
      <c r="J61" s="75" t="s">
        <v>248</v>
      </c>
      <c r="K61" s="77">
        <v>6</v>
      </c>
      <c r="L61" s="78" t="s">
        <v>271</v>
      </c>
      <c r="M61" s="75" t="s">
        <v>244</v>
      </c>
      <c r="N61" s="82">
        <v>6766.2</v>
      </c>
    </row>
    <row r="62" spans="2:20" x14ac:dyDescent="0.25">
      <c r="B62" s="74" t="s">
        <v>325</v>
      </c>
      <c r="C62" s="75">
        <v>49299721</v>
      </c>
      <c r="D62" s="75" t="s">
        <v>254</v>
      </c>
      <c r="E62" s="75">
        <v>23</v>
      </c>
      <c r="F62" s="75" t="s">
        <v>246</v>
      </c>
      <c r="G62" s="75" t="s">
        <v>247</v>
      </c>
      <c r="H62" s="75">
        <v>4</v>
      </c>
      <c r="I62" s="76">
        <v>9147</v>
      </c>
      <c r="J62" s="75" t="s">
        <v>242</v>
      </c>
      <c r="K62" s="77">
        <v>6</v>
      </c>
      <c r="L62" s="78" t="s">
        <v>210</v>
      </c>
      <c r="M62" s="75" t="s">
        <v>244</v>
      </c>
      <c r="N62" s="82">
        <v>16464.600000000002</v>
      </c>
    </row>
    <row r="63" spans="2:20" x14ac:dyDescent="0.25">
      <c r="B63" s="74" t="s">
        <v>326</v>
      </c>
      <c r="C63" s="75">
        <v>30559030</v>
      </c>
      <c r="D63" s="75" t="s">
        <v>239</v>
      </c>
      <c r="E63" s="75">
        <v>26</v>
      </c>
      <c r="F63" s="75" t="s">
        <v>246</v>
      </c>
      <c r="G63" s="75" t="s">
        <v>258</v>
      </c>
      <c r="H63" s="75">
        <v>0</v>
      </c>
      <c r="I63" s="76">
        <v>9663</v>
      </c>
      <c r="J63" s="75" t="s">
        <v>262</v>
      </c>
      <c r="K63" s="77">
        <v>5</v>
      </c>
      <c r="L63" s="78" t="s">
        <v>209</v>
      </c>
      <c r="M63" s="75" t="s">
        <v>244</v>
      </c>
      <c r="N63" s="82">
        <v>14494.5</v>
      </c>
    </row>
    <row r="64" spans="2:20" x14ac:dyDescent="0.25">
      <c r="B64" s="74" t="s">
        <v>327</v>
      </c>
      <c r="C64" s="75">
        <v>25470179</v>
      </c>
      <c r="D64" s="75" t="s">
        <v>254</v>
      </c>
      <c r="E64" s="75">
        <v>37</v>
      </c>
      <c r="F64" s="75" t="s">
        <v>251</v>
      </c>
      <c r="G64" s="75" t="s">
        <v>258</v>
      </c>
      <c r="H64" s="75">
        <v>0</v>
      </c>
      <c r="I64" s="76">
        <v>6712</v>
      </c>
      <c r="J64" s="75" t="s">
        <v>256</v>
      </c>
      <c r="K64" s="77">
        <v>5</v>
      </c>
      <c r="L64" s="78" t="s">
        <v>212</v>
      </c>
      <c r="M64" s="75" t="s">
        <v>244</v>
      </c>
      <c r="N64" s="82">
        <v>10068</v>
      </c>
    </row>
    <row r="65" spans="2:14" x14ac:dyDescent="0.25">
      <c r="B65" s="74" t="s">
        <v>328</v>
      </c>
      <c r="C65" s="75">
        <v>25604584</v>
      </c>
      <c r="D65" s="75" t="s">
        <v>239</v>
      </c>
      <c r="E65" s="75">
        <v>29</v>
      </c>
      <c r="F65" s="75" t="s">
        <v>246</v>
      </c>
      <c r="G65" s="75" t="s">
        <v>247</v>
      </c>
      <c r="H65" s="75">
        <v>1</v>
      </c>
      <c r="I65" s="76">
        <v>7728</v>
      </c>
      <c r="J65" s="75" t="s">
        <v>262</v>
      </c>
      <c r="K65" s="77">
        <v>5</v>
      </c>
      <c r="L65" s="78" t="s">
        <v>243</v>
      </c>
      <c r="M65" s="75" t="s">
        <v>244</v>
      </c>
      <c r="N65" s="82">
        <v>11592</v>
      </c>
    </row>
    <row r="66" spans="2:14" x14ac:dyDescent="0.25">
      <c r="B66" s="74" t="s">
        <v>329</v>
      </c>
      <c r="C66" s="75">
        <v>57998249</v>
      </c>
      <c r="D66" s="75" t="s">
        <v>239</v>
      </c>
      <c r="E66" s="75">
        <v>63</v>
      </c>
      <c r="F66" s="75" t="s">
        <v>255</v>
      </c>
      <c r="G66" s="75" t="s">
        <v>258</v>
      </c>
      <c r="H66" s="75">
        <v>1</v>
      </c>
      <c r="I66" s="76">
        <v>3605</v>
      </c>
      <c r="J66" s="75" t="s">
        <v>262</v>
      </c>
      <c r="K66" s="77">
        <v>5</v>
      </c>
      <c r="L66" s="78" t="s">
        <v>279</v>
      </c>
      <c r="M66" s="75" t="s">
        <v>244</v>
      </c>
      <c r="N66" s="82">
        <v>5407.5</v>
      </c>
    </row>
    <row r="67" spans="2:14" x14ac:dyDescent="0.25">
      <c r="B67" s="74" t="s">
        <v>330</v>
      </c>
      <c r="C67" s="75">
        <v>37551829</v>
      </c>
      <c r="D67" s="75" t="s">
        <v>239</v>
      </c>
      <c r="E67" s="75">
        <v>45</v>
      </c>
      <c r="F67" s="75" t="s">
        <v>240</v>
      </c>
      <c r="G67" s="75" t="s">
        <v>241</v>
      </c>
      <c r="H67" s="75">
        <v>3</v>
      </c>
      <c r="I67" s="76">
        <v>5724</v>
      </c>
      <c r="J67" s="75" t="s">
        <v>256</v>
      </c>
      <c r="K67" s="77">
        <v>5</v>
      </c>
      <c r="L67" s="78" t="s">
        <v>271</v>
      </c>
      <c r="M67" s="75" t="s">
        <v>244</v>
      </c>
      <c r="N67" s="82">
        <v>8586</v>
      </c>
    </row>
    <row r="68" spans="2:14" x14ac:dyDescent="0.25">
      <c r="B68" s="74" t="s">
        <v>331</v>
      </c>
      <c r="C68" s="75">
        <v>33696617</v>
      </c>
      <c r="D68" s="75" t="s">
        <v>254</v>
      </c>
      <c r="E68" s="75">
        <v>46</v>
      </c>
      <c r="F68" s="75" t="s">
        <v>251</v>
      </c>
      <c r="G68" s="75" t="s">
        <v>247</v>
      </c>
      <c r="H68" s="75">
        <v>2</v>
      </c>
      <c r="I68" s="76">
        <v>2384</v>
      </c>
      <c r="J68" s="75" t="s">
        <v>242</v>
      </c>
      <c r="K68" s="77">
        <v>4</v>
      </c>
      <c r="L68" s="78" t="s">
        <v>279</v>
      </c>
      <c r="M68" s="75" t="s">
        <v>244</v>
      </c>
      <c r="N68" s="82">
        <v>2860.8</v>
      </c>
    </row>
    <row r="69" spans="2:14" x14ac:dyDescent="0.25">
      <c r="B69" s="74" t="s">
        <v>332</v>
      </c>
      <c r="C69" s="75">
        <v>67802718</v>
      </c>
      <c r="D69" s="75" t="s">
        <v>254</v>
      </c>
      <c r="E69" s="75">
        <v>34</v>
      </c>
      <c r="F69" s="75" t="s">
        <v>251</v>
      </c>
      <c r="G69" s="75" t="s">
        <v>247</v>
      </c>
      <c r="H69" s="75">
        <v>1</v>
      </c>
      <c r="I69" s="76">
        <v>2711</v>
      </c>
      <c r="J69" s="75" t="s">
        <v>256</v>
      </c>
      <c r="K69" s="77">
        <v>4</v>
      </c>
      <c r="L69" s="78" t="s">
        <v>279</v>
      </c>
      <c r="M69" s="75" t="s">
        <v>244</v>
      </c>
      <c r="N69" s="82">
        <v>3253.2</v>
      </c>
    </row>
    <row r="70" spans="2:14" x14ac:dyDescent="0.25">
      <c r="B70" s="74" t="s">
        <v>333</v>
      </c>
      <c r="C70" s="75">
        <v>40493286</v>
      </c>
      <c r="D70" s="75" t="s">
        <v>254</v>
      </c>
      <c r="E70" s="75">
        <v>34</v>
      </c>
      <c r="F70" s="75" t="s">
        <v>246</v>
      </c>
      <c r="G70" s="75" t="s">
        <v>247</v>
      </c>
      <c r="H70" s="75">
        <v>1</v>
      </c>
      <c r="I70" s="76">
        <v>2707</v>
      </c>
      <c r="J70" s="75" t="s">
        <v>269</v>
      </c>
      <c r="K70" s="77">
        <v>4</v>
      </c>
      <c r="L70" s="78" t="s">
        <v>263</v>
      </c>
      <c r="M70" s="75" t="s">
        <v>244</v>
      </c>
      <c r="N70" s="82">
        <v>3248.4</v>
      </c>
    </row>
    <row r="71" spans="2:14" x14ac:dyDescent="0.25">
      <c r="B71" s="74" t="s">
        <v>334</v>
      </c>
      <c r="C71" s="75">
        <v>45220988</v>
      </c>
      <c r="D71" s="75" t="s">
        <v>254</v>
      </c>
      <c r="E71" s="75">
        <v>24</v>
      </c>
      <c r="F71" s="75" t="s">
        <v>240</v>
      </c>
      <c r="G71" s="75" t="s">
        <v>241</v>
      </c>
      <c r="H71" s="75">
        <v>0</v>
      </c>
      <c r="I71" s="76">
        <v>2497</v>
      </c>
      <c r="J71" s="75" t="s">
        <v>262</v>
      </c>
      <c r="K71" s="77">
        <v>4</v>
      </c>
      <c r="L71" s="78" t="s">
        <v>193</v>
      </c>
      <c r="M71" s="75" t="s">
        <v>244</v>
      </c>
      <c r="N71" s="82">
        <v>2996.3999999999996</v>
      </c>
    </row>
    <row r="72" spans="2:14" x14ac:dyDescent="0.25">
      <c r="B72" s="74" t="s">
        <v>335</v>
      </c>
      <c r="C72" s="75">
        <v>29852519</v>
      </c>
      <c r="D72" s="75" t="s">
        <v>254</v>
      </c>
      <c r="E72" s="75">
        <v>53</v>
      </c>
      <c r="F72" s="75" t="s">
        <v>240</v>
      </c>
      <c r="G72" s="75" t="s">
        <v>252</v>
      </c>
      <c r="H72" s="75">
        <v>4</v>
      </c>
      <c r="I72" s="76">
        <v>8875</v>
      </c>
      <c r="J72" s="75" t="s">
        <v>248</v>
      </c>
      <c r="K72" s="77">
        <v>4</v>
      </c>
      <c r="L72" s="78" t="s">
        <v>271</v>
      </c>
      <c r="M72" s="75" t="s">
        <v>244</v>
      </c>
      <c r="N72" s="82">
        <v>10650</v>
      </c>
    </row>
    <row r="73" spans="2:14" x14ac:dyDescent="0.25">
      <c r="B73" s="74" t="s">
        <v>336</v>
      </c>
      <c r="C73" s="75">
        <v>30544394</v>
      </c>
      <c r="D73" s="75" t="s">
        <v>254</v>
      </c>
      <c r="E73" s="75">
        <v>63</v>
      </c>
      <c r="F73" s="75" t="s">
        <v>240</v>
      </c>
      <c r="G73" s="75" t="s">
        <v>258</v>
      </c>
      <c r="H73" s="75">
        <v>2</v>
      </c>
      <c r="I73" s="76">
        <v>2801</v>
      </c>
      <c r="J73" s="75" t="s">
        <v>262</v>
      </c>
      <c r="K73" s="77">
        <v>4</v>
      </c>
      <c r="L73" s="78" t="s">
        <v>213</v>
      </c>
      <c r="M73" s="75" t="s">
        <v>244</v>
      </c>
      <c r="N73" s="82">
        <v>3361.2000000000003</v>
      </c>
    </row>
    <row r="74" spans="2:14" x14ac:dyDescent="0.25">
      <c r="B74" s="74" t="s">
        <v>337</v>
      </c>
      <c r="C74" s="75">
        <v>43943829</v>
      </c>
      <c r="D74" s="75" t="s">
        <v>254</v>
      </c>
      <c r="E74" s="75">
        <v>41</v>
      </c>
      <c r="F74" s="75" t="s">
        <v>240</v>
      </c>
      <c r="G74" s="75" t="s">
        <v>258</v>
      </c>
      <c r="H74" s="75">
        <v>4</v>
      </c>
      <c r="I74" s="76">
        <v>6008</v>
      </c>
      <c r="J74" s="75" t="s">
        <v>262</v>
      </c>
      <c r="K74" s="77">
        <v>4</v>
      </c>
      <c r="L74" s="78" t="s">
        <v>212</v>
      </c>
      <c r="M74" s="75" t="s">
        <v>244</v>
      </c>
      <c r="N74" s="82">
        <v>7209.5999999999995</v>
      </c>
    </row>
    <row r="75" spans="2:14" x14ac:dyDescent="0.25">
      <c r="B75" s="74" t="s">
        <v>338</v>
      </c>
      <c r="C75" s="75">
        <v>57713905</v>
      </c>
      <c r="D75" s="75" t="s">
        <v>239</v>
      </c>
      <c r="E75" s="75">
        <v>18</v>
      </c>
      <c r="F75" s="75" t="s">
        <v>255</v>
      </c>
      <c r="G75" s="75" t="s">
        <v>258</v>
      </c>
      <c r="H75" s="75">
        <v>4</v>
      </c>
      <c r="I75" s="76">
        <v>4396</v>
      </c>
      <c r="J75" s="75" t="s">
        <v>248</v>
      </c>
      <c r="K75" s="77">
        <v>4</v>
      </c>
      <c r="L75" s="78" t="s">
        <v>215</v>
      </c>
      <c r="M75" s="75" t="s">
        <v>244</v>
      </c>
      <c r="N75" s="82">
        <v>5275.2</v>
      </c>
    </row>
    <row r="76" spans="2:14" x14ac:dyDescent="0.25">
      <c r="B76" s="74" t="s">
        <v>339</v>
      </c>
      <c r="C76" s="75">
        <v>47485724</v>
      </c>
      <c r="D76" s="75" t="s">
        <v>254</v>
      </c>
      <c r="E76" s="75">
        <v>19</v>
      </c>
      <c r="F76" s="75" t="s">
        <v>240</v>
      </c>
      <c r="G76" s="75" t="s">
        <v>252</v>
      </c>
      <c r="H76" s="75">
        <v>1</v>
      </c>
      <c r="I76" s="76">
        <v>9411</v>
      </c>
      <c r="J76" s="75" t="s">
        <v>262</v>
      </c>
      <c r="K76" s="77">
        <v>4</v>
      </c>
      <c r="L76" s="78" t="s">
        <v>212</v>
      </c>
      <c r="M76" s="75" t="s">
        <v>244</v>
      </c>
      <c r="N76" s="82">
        <v>11293.2</v>
      </c>
    </row>
    <row r="77" spans="2:14" x14ac:dyDescent="0.25">
      <c r="B77" s="74" t="s">
        <v>340</v>
      </c>
      <c r="C77" s="75">
        <v>68682975</v>
      </c>
      <c r="D77" s="75" t="s">
        <v>254</v>
      </c>
      <c r="E77" s="75">
        <v>21</v>
      </c>
      <c r="F77" s="75" t="s">
        <v>251</v>
      </c>
      <c r="G77" s="75" t="s">
        <v>241</v>
      </c>
      <c r="H77" s="75">
        <v>1</v>
      </c>
      <c r="I77" s="76">
        <v>6995</v>
      </c>
      <c r="J77" s="75" t="s">
        <v>242</v>
      </c>
      <c r="K77" s="77">
        <v>4</v>
      </c>
      <c r="L77" s="78" t="s">
        <v>193</v>
      </c>
      <c r="M77" s="75" t="s">
        <v>244</v>
      </c>
      <c r="N77" s="82">
        <v>8394</v>
      </c>
    </row>
    <row r="78" spans="2:14" x14ac:dyDescent="0.25">
      <c r="B78" s="74" t="s">
        <v>341</v>
      </c>
      <c r="C78" s="75">
        <v>39011604</v>
      </c>
      <c r="D78" s="75" t="s">
        <v>239</v>
      </c>
      <c r="E78" s="75">
        <v>49</v>
      </c>
      <c r="F78" s="75" t="s">
        <v>246</v>
      </c>
      <c r="G78" s="75" t="s">
        <v>258</v>
      </c>
      <c r="H78" s="75">
        <v>4</v>
      </c>
      <c r="I78" s="76">
        <v>8263</v>
      </c>
      <c r="J78" s="75" t="s">
        <v>248</v>
      </c>
      <c r="K78" s="77">
        <v>4</v>
      </c>
      <c r="L78" s="78" t="s">
        <v>214</v>
      </c>
      <c r="M78" s="75" t="s">
        <v>244</v>
      </c>
      <c r="N78" s="82">
        <v>9915.5999999999985</v>
      </c>
    </row>
    <row r="79" spans="2:14" x14ac:dyDescent="0.25">
      <c r="B79" s="74" t="s">
        <v>342</v>
      </c>
      <c r="C79" s="75">
        <v>35571065</v>
      </c>
      <c r="D79" s="75" t="s">
        <v>254</v>
      </c>
      <c r="E79" s="75">
        <v>46</v>
      </c>
      <c r="F79" s="75" t="s">
        <v>246</v>
      </c>
      <c r="G79" s="75" t="s">
        <v>258</v>
      </c>
      <c r="H79" s="75">
        <v>3</v>
      </c>
      <c r="I79" s="76">
        <v>3808</v>
      </c>
      <c r="J79" s="75" t="s">
        <v>242</v>
      </c>
      <c r="K79" s="77">
        <v>4</v>
      </c>
      <c r="L79" s="78" t="s">
        <v>193</v>
      </c>
      <c r="M79" s="75" t="s">
        <v>244</v>
      </c>
      <c r="N79" s="82">
        <v>4569.5999999999995</v>
      </c>
    </row>
    <row r="80" spans="2:14" x14ac:dyDescent="0.25">
      <c r="B80" s="74" t="s">
        <v>343</v>
      </c>
      <c r="C80" s="75">
        <v>39297001</v>
      </c>
      <c r="D80" s="75" t="s">
        <v>239</v>
      </c>
      <c r="E80" s="75">
        <v>45</v>
      </c>
      <c r="F80" s="75" t="s">
        <v>251</v>
      </c>
      <c r="G80" s="75" t="s">
        <v>258</v>
      </c>
      <c r="H80" s="75">
        <v>4</v>
      </c>
      <c r="I80" s="76">
        <v>2696</v>
      </c>
      <c r="J80" s="75" t="s">
        <v>262</v>
      </c>
      <c r="K80" s="77">
        <v>4</v>
      </c>
      <c r="L80" s="78" t="s">
        <v>271</v>
      </c>
      <c r="M80" s="75" t="s">
        <v>244</v>
      </c>
      <c r="N80" s="82">
        <v>3235.2000000000003</v>
      </c>
    </row>
    <row r="81" spans="2:14" x14ac:dyDescent="0.25">
      <c r="B81" s="74" t="s">
        <v>344</v>
      </c>
      <c r="C81" s="75">
        <v>34249836</v>
      </c>
      <c r="D81" s="75" t="s">
        <v>254</v>
      </c>
      <c r="E81" s="75">
        <v>22</v>
      </c>
      <c r="F81" s="75" t="s">
        <v>255</v>
      </c>
      <c r="G81" s="75" t="s">
        <v>258</v>
      </c>
      <c r="H81" s="75">
        <v>2</v>
      </c>
      <c r="I81" s="76">
        <v>4478</v>
      </c>
      <c r="J81" s="75" t="s">
        <v>248</v>
      </c>
      <c r="K81" s="77">
        <v>4</v>
      </c>
      <c r="L81" s="78" t="s">
        <v>214</v>
      </c>
      <c r="M81" s="75" t="s">
        <v>244</v>
      </c>
      <c r="N81" s="82">
        <v>5373.6</v>
      </c>
    </row>
    <row r="82" spans="2:14" x14ac:dyDescent="0.25">
      <c r="B82" s="74" t="s">
        <v>345</v>
      </c>
      <c r="C82" s="75">
        <v>59435864</v>
      </c>
      <c r="D82" s="75" t="s">
        <v>254</v>
      </c>
      <c r="E82" s="75">
        <v>22</v>
      </c>
      <c r="F82" s="75" t="s">
        <v>240</v>
      </c>
      <c r="G82" s="75" t="s">
        <v>258</v>
      </c>
      <c r="H82" s="75">
        <v>4</v>
      </c>
      <c r="I82" s="76">
        <v>2591</v>
      </c>
      <c r="J82" s="75" t="s">
        <v>269</v>
      </c>
      <c r="K82" s="77">
        <v>4</v>
      </c>
      <c r="L82" s="78" t="s">
        <v>279</v>
      </c>
      <c r="M82" s="75" t="s">
        <v>244</v>
      </c>
      <c r="N82" s="82">
        <v>3109.2</v>
      </c>
    </row>
    <row r="83" spans="2:14" x14ac:dyDescent="0.25">
      <c r="B83" s="74" t="s">
        <v>346</v>
      </c>
      <c r="C83" s="75">
        <v>26995681</v>
      </c>
      <c r="D83" s="75" t="s">
        <v>254</v>
      </c>
      <c r="E83" s="75">
        <v>56</v>
      </c>
      <c r="F83" s="75" t="s">
        <v>240</v>
      </c>
      <c r="G83" s="75" t="s">
        <v>252</v>
      </c>
      <c r="H83" s="75">
        <v>1</v>
      </c>
      <c r="I83" s="76">
        <v>5931</v>
      </c>
      <c r="J83" s="75" t="s">
        <v>256</v>
      </c>
      <c r="K83" s="77">
        <v>3</v>
      </c>
      <c r="L83" s="78" t="s">
        <v>263</v>
      </c>
      <c r="M83" s="75" t="s">
        <v>244</v>
      </c>
      <c r="N83" s="82">
        <v>5337.9000000000005</v>
      </c>
    </row>
    <row r="84" spans="2:14" x14ac:dyDescent="0.25">
      <c r="B84" s="74" t="s">
        <v>347</v>
      </c>
      <c r="C84" s="75">
        <v>38291819</v>
      </c>
      <c r="D84" s="75" t="s">
        <v>254</v>
      </c>
      <c r="E84" s="75">
        <v>44</v>
      </c>
      <c r="F84" s="75" t="s">
        <v>251</v>
      </c>
      <c r="G84" s="75" t="s">
        <v>241</v>
      </c>
      <c r="H84" s="75">
        <v>2</v>
      </c>
      <c r="I84" s="76">
        <v>7176</v>
      </c>
      <c r="J84" s="75" t="s">
        <v>269</v>
      </c>
      <c r="K84" s="77">
        <v>3</v>
      </c>
      <c r="L84" s="78" t="s">
        <v>263</v>
      </c>
      <c r="M84" s="75" t="s">
        <v>244</v>
      </c>
      <c r="N84" s="82">
        <v>6458.4</v>
      </c>
    </row>
    <row r="85" spans="2:14" x14ac:dyDescent="0.25">
      <c r="B85" s="74" t="s">
        <v>348</v>
      </c>
      <c r="C85" s="75">
        <v>30907784</v>
      </c>
      <c r="D85" s="75" t="s">
        <v>254</v>
      </c>
      <c r="E85" s="75">
        <v>41</v>
      </c>
      <c r="F85" s="75" t="s">
        <v>246</v>
      </c>
      <c r="G85" s="75" t="s">
        <v>247</v>
      </c>
      <c r="H85" s="75">
        <v>1</v>
      </c>
      <c r="I85" s="76">
        <v>2477</v>
      </c>
      <c r="J85" s="75" t="s">
        <v>248</v>
      </c>
      <c r="K85" s="77">
        <v>3</v>
      </c>
      <c r="L85" s="78" t="s">
        <v>214</v>
      </c>
      <c r="M85" s="75" t="s">
        <v>244</v>
      </c>
      <c r="N85" s="82">
        <v>2229.3000000000002</v>
      </c>
    </row>
    <row r="86" spans="2:14" x14ac:dyDescent="0.25">
      <c r="B86" s="74" t="s">
        <v>349</v>
      </c>
      <c r="C86" s="75">
        <v>67267050</v>
      </c>
      <c r="D86" s="75" t="s">
        <v>239</v>
      </c>
      <c r="E86" s="75">
        <v>33</v>
      </c>
      <c r="F86" s="75" t="s">
        <v>240</v>
      </c>
      <c r="G86" s="75" t="s">
        <v>258</v>
      </c>
      <c r="H86" s="75">
        <v>1</v>
      </c>
      <c r="I86" s="76">
        <v>9922</v>
      </c>
      <c r="J86" s="75" t="s">
        <v>248</v>
      </c>
      <c r="K86" s="77">
        <v>3</v>
      </c>
      <c r="L86" s="78" t="s">
        <v>243</v>
      </c>
      <c r="M86" s="75" t="s">
        <v>244</v>
      </c>
      <c r="N86" s="82">
        <v>8929.8000000000011</v>
      </c>
    </row>
    <row r="87" spans="2:14" x14ac:dyDescent="0.25">
      <c r="B87" s="74" t="s">
        <v>350</v>
      </c>
      <c r="C87" s="75">
        <v>25521406</v>
      </c>
      <c r="D87" s="75" t="s">
        <v>254</v>
      </c>
      <c r="E87" s="75">
        <v>39</v>
      </c>
      <c r="F87" s="75" t="s">
        <v>240</v>
      </c>
      <c r="G87" s="75" t="s">
        <v>258</v>
      </c>
      <c r="H87" s="75">
        <v>2</v>
      </c>
      <c r="I87" s="76">
        <v>4002</v>
      </c>
      <c r="J87" s="75" t="s">
        <v>242</v>
      </c>
      <c r="K87" s="77">
        <v>3</v>
      </c>
      <c r="L87" s="78" t="s">
        <v>193</v>
      </c>
      <c r="M87" s="75" t="s">
        <v>244</v>
      </c>
      <c r="N87" s="82">
        <v>3601.8</v>
      </c>
    </row>
    <row r="88" spans="2:14" x14ac:dyDescent="0.25">
      <c r="B88" s="74" t="s">
        <v>351</v>
      </c>
      <c r="C88" s="75">
        <v>66291552</v>
      </c>
      <c r="D88" s="75" t="s">
        <v>239</v>
      </c>
      <c r="E88" s="75">
        <v>49</v>
      </c>
      <c r="F88" s="75" t="s">
        <v>240</v>
      </c>
      <c r="G88" s="75" t="s">
        <v>258</v>
      </c>
      <c r="H88" s="75">
        <v>4</v>
      </c>
      <c r="I88" s="76">
        <v>5438</v>
      </c>
      <c r="J88" s="75" t="s">
        <v>269</v>
      </c>
      <c r="K88" s="77">
        <v>3</v>
      </c>
      <c r="L88" s="78" t="s">
        <v>213</v>
      </c>
      <c r="M88" s="75" t="s">
        <v>244</v>
      </c>
      <c r="N88" s="82">
        <v>4894.2</v>
      </c>
    </row>
    <row r="89" spans="2:14" x14ac:dyDescent="0.25">
      <c r="B89" s="74" t="s">
        <v>352</v>
      </c>
      <c r="C89" s="75">
        <v>38770052</v>
      </c>
      <c r="D89" s="75" t="s">
        <v>239</v>
      </c>
      <c r="E89" s="75">
        <v>53</v>
      </c>
      <c r="F89" s="75" t="s">
        <v>246</v>
      </c>
      <c r="G89" s="75" t="s">
        <v>258</v>
      </c>
      <c r="H89" s="75">
        <v>2</v>
      </c>
      <c r="I89" s="76">
        <v>2748</v>
      </c>
      <c r="J89" s="75" t="s">
        <v>269</v>
      </c>
      <c r="K89" s="77">
        <v>3</v>
      </c>
      <c r="L89" s="78" t="s">
        <v>210</v>
      </c>
      <c r="M89" s="75" t="s">
        <v>244</v>
      </c>
      <c r="N89" s="82">
        <v>2473.1999999999998</v>
      </c>
    </row>
    <row r="90" spans="2:14" x14ac:dyDescent="0.25">
      <c r="B90" s="74" t="s">
        <v>353</v>
      </c>
      <c r="C90" s="75">
        <v>52749953</v>
      </c>
      <c r="D90" s="75" t="s">
        <v>254</v>
      </c>
      <c r="E90" s="75">
        <v>56</v>
      </c>
      <c r="F90" s="75" t="s">
        <v>240</v>
      </c>
      <c r="G90" s="75" t="s">
        <v>252</v>
      </c>
      <c r="H90" s="75">
        <v>1</v>
      </c>
      <c r="I90" s="76">
        <v>9089</v>
      </c>
      <c r="J90" s="75" t="s">
        <v>242</v>
      </c>
      <c r="K90" s="77">
        <v>3</v>
      </c>
      <c r="L90" s="78" t="s">
        <v>212</v>
      </c>
      <c r="M90" s="75" t="s">
        <v>244</v>
      </c>
      <c r="N90" s="82">
        <v>8180.1</v>
      </c>
    </row>
    <row r="91" spans="2:14" x14ac:dyDescent="0.25">
      <c r="B91" s="74" t="s">
        <v>354</v>
      </c>
      <c r="C91" s="75">
        <v>40990314</v>
      </c>
      <c r="D91" s="75" t="s">
        <v>254</v>
      </c>
      <c r="E91" s="75">
        <v>18</v>
      </c>
      <c r="F91" s="75" t="s">
        <v>255</v>
      </c>
      <c r="G91" s="75" t="s">
        <v>258</v>
      </c>
      <c r="H91" s="75">
        <v>1</v>
      </c>
      <c r="I91" s="76">
        <v>3499</v>
      </c>
      <c r="J91" s="75" t="s">
        <v>269</v>
      </c>
      <c r="K91" s="77">
        <v>3</v>
      </c>
      <c r="L91" s="78" t="s">
        <v>213</v>
      </c>
      <c r="M91" s="75" t="s">
        <v>244</v>
      </c>
      <c r="N91" s="82">
        <v>3149.1</v>
      </c>
    </row>
    <row r="92" spans="2:14" x14ac:dyDescent="0.25">
      <c r="B92" s="74" t="s">
        <v>355</v>
      </c>
      <c r="C92" s="75">
        <v>42252845</v>
      </c>
      <c r="D92" s="75" t="s">
        <v>239</v>
      </c>
      <c r="E92" s="75">
        <v>21</v>
      </c>
      <c r="F92" s="75" t="s">
        <v>246</v>
      </c>
      <c r="G92" s="75" t="s">
        <v>241</v>
      </c>
      <c r="H92" s="75">
        <v>0</v>
      </c>
      <c r="I92" s="76">
        <v>9139</v>
      </c>
      <c r="J92" s="75" t="s">
        <v>248</v>
      </c>
      <c r="K92" s="77">
        <v>3</v>
      </c>
      <c r="L92" s="78" t="s">
        <v>209</v>
      </c>
      <c r="M92" s="75" t="s">
        <v>244</v>
      </c>
      <c r="N92" s="82">
        <v>8225.1</v>
      </c>
    </row>
    <row r="93" spans="2:14" x14ac:dyDescent="0.25">
      <c r="B93" s="74" t="s">
        <v>356</v>
      </c>
      <c r="C93" s="75">
        <v>69640385</v>
      </c>
      <c r="D93" s="75" t="s">
        <v>239</v>
      </c>
      <c r="E93" s="75">
        <v>39</v>
      </c>
      <c r="F93" s="75" t="s">
        <v>251</v>
      </c>
      <c r="G93" s="75" t="s">
        <v>241</v>
      </c>
      <c r="H93" s="75">
        <v>4</v>
      </c>
      <c r="I93" s="76">
        <v>5816</v>
      </c>
      <c r="J93" s="75" t="s">
        <v>242</v>
      </c>
      <c r="K93" s="77">
        <v>3</v>
      </c>
      <c r="L93" s="78" t="s">
        <v>210</v>
      </c>
      <c r="M93" s="75" t="s">
        <v>244</v>
      </c>
      <c r="N93" s="82">
        <v>5234.3999999999996</v>
      </c>
    </row>
    <row r="94" spans="2:14" x14ac:dyDescent="0.25">
      <c r="B94" s="74" t="s">
        <v>357</v>
      </c>
      <c r="C94" s="75">
        <v>50768082</v>
      </c>
      <c r="D94" s="75" t="s">
        <v>254</v>
      </c>
      <c r="E94" s="75">
        <v>51</v>
      </c>
      <c r="F94" s="75" t="s">
        <v>240</v>
      </c>
      <c r="G94" s="75" t="s">
        <v>258</v>
      </c>
      <c r="H94" s="75">
        <v>2</v>
      </c>
      <c r="I94" s="76">
        <v>6921</v>
      </c>
      <c r="J94" s="75" t="s">
        <v>248</v>
      </c>
      <c r="K94" s="77">
        <v>3</v>
      </c>
      <c r="L94" s="78" t="s">
        <v>213</v>
      </c>
      <c r="M94" s="75" t="s">
        <v>244</v>
      </c>
      <c r="N94" s="82">
        <v>6228.9</v>
      </c>
    </row>
    <row r="95" spans="2:14" x14ac:dyDescent="0.25">
      <c r="B95" s="74" t="s">
        <v>358</v>
      </c>
      <c r="C95" s="75">
        <v>30645493</v>
      </c>
      <c r="D95" s="75" t="s">
        <v>239</v>
      </c>
      <c r="E95" s="75">
        <v>62</v>
      </c>
      <c r="F95" s="75" t="s">
        <v>246</v>
      </c>
      <c r="G95" s="75" t="s">
        <v>258</v>
      </c>
      <c r="H95" s="75">
        <v>2</v>
      </c>
      <c r="I95" s="76">
        <v>3132</v>
      </c>
      <c r="J95" s="75" t="s">
        <v>262</v>
      </c>
      <c r="K95" s="77">
        <v>3</v>
      </c>
      <c r="L95" s="78" t="s">
        <v>213</v>
      </c>
      <c r="M95" s="75" t="s">
        <v>244</v>
      </c>
      <c r="N95" s="82">
        <v>2818.7999999999997</v>
      </c>
    </row>
    <row r="96" spans="2:14" x14ac:dyDescent="0.25">
      <c r="B96" s="74" t="s">
        <v>359</v>
      </c>
      <c r="C96" s="75">
        <v>58756363</v>
      </c>
      <c r="D96" s="75" t="s">
        <v>254</v>
      </c>
      <c r="E96" s="75">
        <v>21</v>
      </c>
      <c r="F96" s="75" t="s">
        <v>255</v>
      </c>
      <c r="G96" s="75" t="s">
        <v>241</v>
      </c>
      <c r="H96" s="75">
        <v>1</v>
      </c>
      <c r="I96" s="76">
        <v>3467</v>
      </c>
      <c r="J96" s="75" t="s">
        <v>269</v>
      </c>
      <c r="K96" s="77">
        <v>3</v>
      </c>
      <c r="L96" s="78" t="s">
        <v>193</v>
      </c>
      <c r="M96" s="75" t="s">
        <v>244</v>
      </c>
      <c r="N96" s="82">
        <v>3120.3</v>
      </c>
    </row>
    <row r="97" spans="2:14" x14ac:dyDescent="0.25">
      <c r="B97" s="74" t="s">
        <v>360</v>
      </c>
      <c r="C97" s="75">
        <v>63054077</v>
      </c>
      <c r="D97" s="75" t="s">
        <v>239</v>
      </c>
      <c r="E97" s="75">
        <v>43</v>
      </c>
      <c r="F97" s="75" t="s">
        <v>240</v>
      </c>
      <c r="G97" s="75" t="s">
        <v>241</v>
      </c>
      <c r="H97" s="75">
        <v>2</v>
      </c>
      <c r="I97" s="76">
        <v>4413</v>
      </c>
      <c r="J97" s="75" t="s">
        <v>269</v>
      </c>
      <c r="K97" s="77">
        <v>2</v>
      </c>
      <c r="L97" s="78" t="s">
        <v>243</v>
      </c>
      <c r="M97" s="75" t="s">
        <v>244</v>
      </c>
      <c r="N97" s="82">
        <v>2647.8</v>
      </c>
    </row>
    <row r="98" spans="2:14" x14ac:dyDescent="0.25">
      <c r="B98" s="74" t="s">
        <v>361</v>
      </c>
      <c r="C98" s="75">
        <v>35696210</v>
      </c>
      <c r="D98" s="75" t="s">
        <v>254</v>
      </c>
      <c r="E98" s="75">
        <v>46</v>
      </c>
      <c r="F98" s="75" t="s">
        <v>251</v>
      </c>
      <c r="G98" s="75" t="s">
        <v>241</v>
      </c>
      <c r="H98" s="75">
        <v>1</v>
      </c>
      <c r="I98" s="76">
        <v>8898</v>
      </c>
      <c r="J98" s="75" t="s">
        <v>242</v>
      </c>
      <c r="K98" s="77">
        <v>2</v>
      </c>
      <c r="L98" s="78" t="s">
        <v>193</v>
      </c>
      <c r="M98" s="75" t="s">
        <v>244</v>
      </c>
      <c r="N98" s="82">
        <v>5338.8</v>
      </c>
    </row>
    <row r="99" spans="2:14" x14ac:dyDescent="0.25">
      <c r="B99" s="74" t="s">
        <v>362</v>
      </c>
      <c r="C99" s="75">
        <v>49754467</v>
      </c>
      <c r="D99" s="75" t="s">
        <v>239</v>
      </c>
      <c r="E99" s="75">
        <v>62</v>
      </c>
      <c r="F99" s="75" t="s">
        <v>255</v>
      </c>
      <c r="G99" s="75" t="s">
        <v>247</v>
      </c>
      <c r="H99" s="75">
        <v>1</v>
      </c>
      <c r="I99" s="76">
        <v>2129</v>
      </c>
      <c r="J99" s="75" t="s">
        <v>248</v>
      </c>
      <c r="K99" s="77">
        <v>2</v>
      </c>
      <c r="L99" s="78" t="s">
        <v>193</v>
      </c>
      <c r="M99" s="75" t="s">
        <v>244</v>
      </c>
      <c r="N99" s="82">
        <v>1277.3999999999999</v>
      </c>
    </row>
    <row r="100" spans="2:14" x14ac:dyDescent="0.25">
      <c r="B100" s="74" t="s">
        <v>363</v>
      </c>
      <c r="C100" s="75">
        <v>58001837</v>
      </c>
      <c r="D100" s="75" t="s">
        <v>239</v>
      </c>
      <c r="E100" s="75">
        <v>36</v>
      </c>
      <c r="F100" s="75" t="s">
        <v>246</v>
      </c>
      <c r="G100" s="75" t="s">
        <v>247</v>
      </c>
      <c r="H100" s="75">
        <v>1</v>
      </c>
      <c r="I100" s="76">
        <v>5505</v>
      </c>
      <c r="J100" s="75" t="s">
        <v>256</v>
      </c>
      <c r="K100" s="77">
        <v>2</v>
      </c>
      <c r="L100" s="78" t="s">
        <v>193</v>
      </c>
      <c r="M100" s="75" t="s">
        <v>244</v>
      </c>
      <c r="N100" s="82">
        <v>3303</v>
      </c>
    </row>
    <row r="101" spans="2:14" x14ac:dyDescent="0.25">
      <c r="B101" s="74" t="s">
        <v>364</v>
      </c>
      <c r="C101" s="75">
        <v>53567717</v>
      </c>
      <c r="D101" s="75" t="s">
        <v>239</v>
      </c>
      <c r="E101" s="75">
        <v>37</v>
      </c>
      <c r="F101" s="75" t="s">
        <v>240</v>
      </c>
      <c r="G101" s="75" t="s">
        <v>252</v>
      </c>
      <c r="H101" s="75">
        <v>1</v>
      </c>
      <c r="I101" s="76">
        <v>4572</v>
      </c>
      <c r="J101" s="75" t="s">
        <v>262</v>
      </c>
      <c r="K101" s="77">
        <v>2</v>
      </c>
      <c r="L101" s="78" t="s">
        <v>212</v>
      </c>
      <c r="M101" s="75" t="s">
        <v>244</v>
      </c>
      <c r="N101" s="82">
        <v>2743.2</v>
      </c>
    </row>
    <row r="102" spans="2:14" x14ac:dyDescent="0.25">
      <c r="B102" s="74" t="s">
        <v>365</v>
      </c>
      <c r="C102" s="75">
        <v>44297902</v>
      </c>
      <c r="D102" s="75" t="s">
        <v>239</v>
      </c>
      <c r="E102" s="75">
        <v>61</v>
      </c>
      <c r="F102" s="75" t="s">
        <v>255</v>
      </c>
      <c r="G102" s="75" t="s">
        <v>258</v>
      </c>
      <c r="H102" s="75">
        <v>4</v>
      </c>
      <c r="I102" s="76">
        <v>8080</v>
      </c>
      <c r="J102" s="75" t="s">
        <v>269</v>
      </c>
      <c r="K102" s="77">
        <v>2</v>
      </c>
      <c r="L102" s="78" t="s">
        <v>243</v>
      </c>
      <c r="M102" s="75" t="s">
        <v>244</v>
      </c>
      <c r="N102" s="82">
        <v>4848</v>
      </c>
    </row>
    <row r="103" spans="2:14" x14ac:dyDescent="0.25">
      <c r="B103" s="74" t="s">
        <v>366</v>
      </c>
      <c r="C103" s="75">
        <v>44747558</v>
      </c>
      <c r="D103" s="75" t="s">
        <v>239</v>
      </c>
      <c r="E103" s="75">
        <v>28</v>
      </c>
      <c r="F103" s="75" t="s">
        <v>240</v>
      </c>
      <c r="G103" s="75" t="s">
        <v>252</v>
      </c>
      <c r="H103" s="75">
        <v>1</v>
      </c>
      <c r="I103" s="76">
        <v>7587</v>
      </c>
      <c r="J103" s="75" t="s">
        <v>256</v>
      </c>
      <c r="K103" s="77">
        <v>2</v>
      </c>
      <c r="L103" s="78" t="s">
        <v>279</v>
      </c>
      <c r="M103" s="75" t="s">
        <v>244</v>
      </c>
      <c r="N103" s="82">
        <v>4552.2000000000007</v>
      </c>
    </row>
    <row r="104" spans="2:14" x14ac:dyDescent="0.25">
      <c r="B104" s="74" t="s">
        <v>367</v>
      </c>
      <c r="C104" s="75">
        <v>30442346</v>
      </c>
      <c r="D104" s="75" t="s">
        <v>254</v>
      </c>
      <c r="E104" s="75">
        <v>24</v>
      </c>
      <c r="F104" s="75" t="s">
        <v>246</v>
      </c>
      <c r="G104" s="75" t="s">
        <v>241</v>
      </c>
      <c r="H104" s="75">
        <v>1</v>
      </c>
      <c r="I104" s="76">
        <v>2244</v>
      </c>
      <c r="J104" s="75" t="s">
        <v>262</v>
      </c>
      <c r="K104" s="77">
        <v>2</v>
      </c>
      <c r="L104" s="78" t="s">
        <v>271</v>
      </c>
      <c r="M104" s="75" t="s">
        <v>244</v>
      </c>
      <c r="N104" s="82">
        <v>1346.4</v>
      </c>
    </row>
    <row r="105" spans="2:14" x14ac:dyDescent="0.25">
      <c r="B105" s="74" t="s">
        <v>368</v>
      </c>
      <c r="C105" s="75">
        <v>26086403</v>
      </c>
      <c r="D105" s="75" t="s">
        <v>239</v>
      </c>
      <c r="E105" s="75">
        <v>51</v>
      </c>
      <c r="F105" s="75" t="s">
        <v>240</v>
      </c>
      <c r="G105" s="75" t="s">
        <v>252</v>
      </c>
      <c r="H105" s="75">
        <v>1</v>
      </c>
      <c r="I105" s="76">
        <v>3512</v>
      </c>
      <c r="J105" s="75" t="s">
        <v>242</v>
      </c>
      <c r="K105" s="77">
        <v>2</v>
      </c>
      <c r="L105" s="78" t="s">
        <v>213</v>
      </c>
      <c r="M105" s="75" t="s">
        <v>244</v>
      </c>
      <c r="N105" s="82">
        <v>2107.1999999999998</v>
      </c>
    </row>
    <row r="106" spans="2:14" x14ac:dyDescent="0.25">
      <c r="B106" s="74" t="s">
        <v>369</v>
      </c>
      <c r="C106" s="75">
        <v>25630963</v>
      </c>
      <c r="D106" s="75" t="s">
        <v>239</v>
      </c>
      <c r="E106" s="75">
        <v>49</v>
      </c>
      <c r="F106" s="75" t="s">
        <v>251</v>
      </c>
      <c r="G106" s="75" t="s">
        <v>252</v>
      </c>
      <c r="H106" s="75">
        <v>3</v>
      </c>
      <c r="I106" s="76">
        <v>8643</v>
      </c>
      <c r="J106" s="75" t="s">
        <v>262</v>
      </c>
      <c r="K106" s="77">
        <v>2</v>
      </c>
      <c r="L106" s="78" t="s">
        <v>271</v>
      </c>
      <c r="M106" s="75" t="s">
        <v>244</v>
      </c>
      <c r="N106" s="82">
        <v>5185.8</v>
      </c>
    </row>
    <row r="107" spans="2:14" x14ac:dyDescent="0.25">
      <c r="B107" s="74" t="s">
        <v>370</v>
      </c>
      <c r="C107" s="75">
        <v>69770624</v>
      </c>
      <c r="D107" s="75" t="s">
        <v>254</v>
      </c>
      <c r="E107" s="75">
        <v>47</v>
      </c>
      <c r="F107" s="75" t="s">
        <v>246</v>
      </c>
      <c r="G107" s="75" t="s">
        <v>252</v>
      </c>
      <c r="H107" s="75">
        <v>0</v>
      </c>
      <c r="I107" s="76">
        <v>3834</v>
      </c>
      <c r="J107" s="75" t="s">
        <v>269</v>
      </c>
      <c r="K107" s="77">
        <v>2</v>
      </c>
      <c r="L107" s="78" t="s">
        <v>213</v>
      </c>
      <c r="M107" s="75" t="s">
        <v>244</v>
      </c>
      <c r="N107" s="82">
        <v>2300.4</v>
      </c>
    </row>
    <row r="108" spans="2:14" x14ac:dyDescent="0.25">
      <c r="B108" s="74" t="s">
        <v>371</v>
      </c>
      <c r="C108" s="75">
        <v>34993474</v>
      </c>
      <c r="D108" s="75" t="s">
        <v>254</v>
      </c>
      <c r="E108" s="75">
        <v>46</v>
      </c>
      <c r="F108" s="75" t="s">
        <v>255</v>
      </c>
      <c r="G108" s="75" t="s">
        <v>247</v>
      </c>
      <c r="H108" s="75">
        <v>4</v>
      </c>
      <c r="I108" s="76">
        <v>2387</v>
      </c>
      <c r="J108" s="75" t="s">
        <v>269</v>
      </c>
      <c r="K108" s="77">
        <v>2</v>
      </c>
      <c r="L108" s="78" t="s">
        <v>271</v>
      </c>
      <c r="M108" s="75" t="s">
        <v>244</v>
      </c>
      <c r="N108" s="82">
        <v>1432.2</v>
      </c>
    </row>
    <row r="109" spans="2:14" x14ac:dyDescent="0.25">
      <c r="B109" s="74" t="s">
        <v>372</v>
      </c>
      <c r="C109" s="75">
        <v>56501702</v>
      </c>
      <c r="D109" s="75" t="s">
        <v>239</v>
      </c>
      <c r="E109" s="75">
        <v>48</v>
      </c>
      <c r="F109" s="75" t="s">
        <v>240</v>
      </c>
      <c r="G109" s="75" t="s">
        <v>247</v>
      </c>
      <c r="H109" s="75">
        <v>2</v>
      </c>
      <c r="I109" s="76">
        <v>2570</v>
      </c>
      <c r="J109" s="75" t="s">
        <v>262</v>
      </c>
      <c r="K109" s="77">
        <v>2</v>
      </c>
      <c r="L109" s="78" t="s">
        <v>210</v>
      </c>
      <c r="M109" s="75" t="s">
        <v>244</v>
      </c>
      <c r="N109" s="82">
        <v>1542</v>
      </c>
    </row>
    <row r="110" spans="2:14" x14ac:dyDescent="0.25">
      <c r="B110" s="74" t="s">
        <v>373</v>
      </c>
      <c r="C110" s="75">
        <v>62698959</v>
      </c>
      <c r="D110" s="75" t="s">
        <v>239</v>
      </c>
      <c r="E110" s="75">
        <v>64</v>
      </c>
      <c r="F110" s="75" t="s">
        <v>246</v>
      </c>
      <c r="G110" s="75" t="s">
        <v>241</v>
      </c>
      <c r="H110" s="75">
        <v>3</v>
      </c>
      <c r="I110" s="76">
        <v>3165</v>
      </c>
      <c r="J110" s="75" t="s">
        <v>248</v>
      </c>
      <c r="K110" s="77">
        <v>2</v>
      </c>
      <c r="L110" s="78" t="s">
        <v>193</v>
      </c>
      <c r="M110" s="75" t="s">
        <v>244</v>
      </c>
      <c r="N110" s="82">
        <v>1899</v>
      </c>
    </row>
    <row r="111" spans="2:14" x14ac:dyDescent="0.25">
      <c r="B111" s="74" t="s">
        <v>374</v>
      </c>
      <c r="C111" s="75">
        <v>46807261</v>
      </c>
      <c r="D111" s="75" t="s">
        <v>254</v>
      </c>
      <c r="E111" s="75">
        <v>47</v>
      </c>
      <c r="F111" s="75" t="s">
        <v>246</v>
      </c>
      <c r="G111" s="75" t="s">
        <v>247</v>
      </c>
      <c r="H111" s="75">
        <v>4</v>
      </c>
      <c r="I111" s="76">
        <v>2193</v>
      </c>
      <c r="J111" s="75" t="s">
        <v>248</v>
      </c>
      <c r="K111" s="77">
        <v>1</v>
      </c>
      <c r="L111" s="78" t="s">
        <v>214</v>
      </c>
      <c r="M111" s="75" t="s">
        <v>244</v>
      </c>
      <c r="N111" s="82">
        <v>657.9</v>
      </c>
    </row>
    <row r="112" spans="2:14" x14ac:dyDescent="0.25">
      <c r="B112" s="74" t="s">
        <v>375</v>
      </c>
      <c r="C112" s="75">
        <v>38046308</v>
      </c>
      <c r="D112" s="75" t="s">
        <v>239</v>
      </c>
      <c r="E112" s="75">
        <v>53</v>
      </c>
      <c r="F112" s="75" t="s">
        <v>255</v>
      </c>
      <c r="G112" s="75" t="s">
        <v>241</v>
      </c>
      <c r="H112" s="75">
        <v>4</v>
      </c>
      <c r="I112" s="76">
        <v>4006</v>
      </c>
      <c r="J112" s="75" t="s">
        <v>256</v>
      </c>
      <c r="K112" s="77">
        <v>1</v>
      </c>
      <c r="L112" s="78" t="s">
        <v>214</v>
      </c>
      <c r="M112" s="75" t="s">
        <v>244</v>
      </c>
      <c r="N112" s="82">
        <v>1201.8000000000002</v>
      </c>
    </row>
    <row r="113" spans="2:14" x14ac:dyDescent="0.25">
      <c r="B113" s="74" t="s">
        <v>376</v>
      </c>
      <c r="C113" s="75">
        <v>40323954</v>
      </c>
      <c r="D113" s="75" t="s">
        <v>239</v>
      </c>
      <c r="E113" s="75">
        <v>62</v>
      </c>
      <c r="F113" s="75" t="s">
        <v>255</v>
      </c>
      <c r="G113" s="75" t="s">
        <v>252</v>
      </c>
      <c r="H113" s="75">
        <v>1</v>
      </c>
      <c r="I113" s="76">
        <v>9543</v>
      </c>
      <c r="J113" s="75" t="s">
        <v>242</v>
      </c>
      <c r="K113" s="77">
        <v>1</v>
      </c>
      <c r="L113" s="78" t="s">
        <v>214</v>
      </c>
      <c r="M113" s="75" t="s">
        <v>244</v>
      </c>
      <c r="N113" s="82">
        <v>2862.9</v>
      </c>
    </row>
    <row r="114" spans="2:14" x14ac:dyDescent="0.25">
      <c r="B114" s="74" t="s">
        <v>377</v>
      </c>
      <c r="C114" s="75">
        <v>42949974</v>
      </c>
      <c r="D114" s="75" t="s">
        <v>254</v>
      </c>
      <c r="E114" s="75">
        <v>49</v>
      </c>
      <c r="F114" s="75" t="s">
        <v>246</v>
      </c>
      <c r="G114" s="75" t="s">
        <v>241</v>
      </c>
      <c r="H114" s="75">
        <v>1</v>
      </c>
      <c r="I114" s="76">
        <v>5903</v>
      </c>
      <c r="J114" s="75" t="s">
        <v>242</v>
      </c>
      <c r="K114" s="77">
        <v>1</v>
      </c>
      <c r="L114" s="78" t="s">
        <v>271</v>
      </c>
      <c r="M114" s="75" t="s">
        <v>244</v>
      </c>
      <c r="N114" s="82">
        <v>1770.9</v>
      </c>
    </row>
    <row r="115" spans="2:14" x14ac:dyDescent="0.25">
      <c r="B115" s="74" t="s">
        <v>378</v>
      </c>
      <c r="C115" s="75">
        <v>58443510</v>
      </c>
      <c r="D115" s="75" t="s">
        <v>239</v>
      </c>
      <c r="E115" s="75">
        <v>40</v>
      </c>
      <c r="F115" s="75" t="s">
        <v>251</v>
      </c>
      <c r="G115" s="75" t="s">
        <v>247</v>
      </c>
      <c r="H115" s="75">
        <v>0</v>
      </c>
      <c r="I115" s="76">
        <v>2875</v>
      </c>
      <c r="J115" s="75" t="s">
        <v>256</v>
      </c>
      <c r="K115" s="77">
        <v>1</v>
      </c>
      <c r="L115" s="78" t="s">
        <v>243</v>
      </c>
      <c r="M115" s="75" t="s">
        <v>244</v>
      </c>
      <c r="N115" s="82">
        <v>862.5</v>
      </c>
    </row>
    <row r="116" spans="2:14" x14ac:dyDescent="0.25">
      <c r="B116" s="74" t="s">
        <v>379</v>
      </c>
      <c r="C116" s="75">
        <v>65990150</v>
      </c>
      <c r="D116" s="75" t="s">
        <v>254</v>
      </c>
      <c r="E116" s="75">
        <v>34</v>
      </c>
      <c r="F116" s="75" t="s">
        <v>255</v>
      </c>
      <c r="G116" s="75" t="s">
        <v>247</v>
      </c>
      <c r="H116" s="75">
        <v>4</v>
      </c>
      <c r="I116" s="76">
        <v>6851</v>
      </c>
      <c r="J116" s="75" t="s">
        <v>242</v>
      </c>
      <c r="K116" s="77">
        <v>1</v>
      </c>
      <c r="L116" s="78" t="s">
        <v>210</v>
      </c>
      <c r="M116" s="75" t="s">
        <v>244</v>
      </c>
      <c r="N116" s="82">
        <v>2055.3000000000002</v>
      </c>
    </row>
    <row r="117" spans="2:14" x14ac:dyDescent="0.25">
      <c r="B117" s="74" t="s">
        <v>380</v>
      </c>
      <c r="C117" s="75">
        <v>48368888</v>
      </c>
      <c r="D117" s="75" t="s">
        <v>239</v>
      </c>
      <c r="E117" s="75">
        <v>30</v>
      </c>
      <c r="F117" s="75" t="s">
        <v>251</v>
      </c>
      <c r="G117" s="75" t="s">
        <v>258</v>
      </c>
      <c r="H117" s="75">
        <v>2</v>
      </c>
      <c r="I117" s="76">
        <v>2038</v>
      </c>
      <c r="J117" s="75" t="s">
        <v>269</v>
      </c>
      <c r="K117" s="77">
        <v>1</v>
      </c>
      <c r="L117" s="78" t="s">
        <v>193</v>
      </c>
      <c r="M117" s="75" t="s">
        <v>244</v>
      </c>
      <c r="N117" s="82">
        <v>611.4</v>
      </c>
    </row>
    <row r="118" spans="2:14" x14ac:dyDescent="0.25">
      <c r="B118" s="74" t="s">
        <v>381</v>
      </c>
      <c r="C118" s="75">
        <v>32669527</v>
      </c>
      <c r="D118" s="75" t="s">
        <v>254</v>
      </c>
      <c r="E118" s="75">
        <v>34</v>
      </c>
      <c r="F118" s="75" t="s">
        <v>240</v>
      </c>
      <c r="G118" s="75" t="s">
        <v>258</v>
      </c>
      <c r="H118" s="75">
        <v>2</v>
      </c>
      <c r="I118" s="76">
        <v>8973</v>
      </c>
      <c r="J118" s="75" t="s">
        <v>256</v>
      </c>
      <c r="K118" s="77">
        <v>0</v>
      </c>
      <c r="L118" s="78" t="s">
        <v>382</v>
      </c>
      <c r="M118" s="75" t="s">
        <v>244</v>
      </c>
      <c r="N118" s="82">
        <v>0</v>
      </c>
    </row>
    <row r="119" spans="2:14" x14ac:dyDescent="0.25">
      <c r="B119" s="74" t="s">
        <v>383</v>
      </c>
      <c r="C119" s="75">
        <v>58787391</v>
      </c>
      <c r="D119" s="75" t="s">
        <v>254</v>
      </c>
      <c r="E119" s="75">
        <v>53</v>
      </c>
      <c r="F119" s="75" t="s">
        <v>251</v>
      </c>
      <c r="G119" s="75" t="s">
        <v>252</v>
      </c>
      <c r="H119" s="75">
        <v>4</v>
      </c>
      <c r="I119" s="76">
        <v>3064</v>
      </c>
      <c r="J119" s="75" t="s">
        <v>248</v>
      </c>
      <c r="K119" s="77">
        <v>0</v>
      </c>
      <c r="L119" s="78" t="s">
        <v>382</v>
      </c>
      <c r="M119" s="75" t="s">
        <v>244</v>
      </c>
      <c r="N119" s="82">
        <v>0</v>
      </c>
    </row>
    <row r="120" spans="2:14" x14ac:dyDescent="0.25">
      <c r="B120" s="74" t="s">
        <v>384</v>
      </c>
      <c r="C120" s="75">
        <v>51914664</v>
      </c>
      <c r="D120" s="75" t="s">
        <v>239</v>
      </c>
      <c r="E120" s="75">
        <v>32</v>
      </c>
      <c r="F120" s="75" t="s">
        <v>240</v>
      </c>
      <c r="G120" s="75" t="s">
        <v>252</v>
      </c>
      <c r="H120" s="75">
        <v>2</v>
      </c>
      <c r="I120" s="76">
        <v>8247</v>
      </c>
      <c r="J120" s="75" t="s">
        <v>262</v>
      </c>
      <c r="K120" s="77">
        <v>0</v>
      </c>
      <c r="L120" s="78" t="s">
        <v>382</v>
      </c>
      <c r="M120" s="75" t="s">
        <v>244</v>
      </c>
      <c r="N120" s="82">
        <v>0</v>
      </c>
    </row>
    <row r="121" spans="2:14" x14ac:dyDescent="0.25">
      <c r="B121" s="74" t="s">
        <v>385</v>
      </c>
      <c r="C121" s="75">
        <v>43099041</v>
      </c>
      <c r="D121" s="75" t="s">
        <v>254</v>
      </c>
      <c r="E121" s="75">
        <v>24</v>
      </c>
      <c r="F121" s="75" t="s">
        <v>240</v>
      </c>
      <c r="G121" s="75" t="s">
        <v>241</v>
      </c>
      <c r="H121" s="75">
        <v>1</v>
      </c>
      <c r="I121" s="76">
        <v>8385</v>
      </c>
      <c r="J121" s="75" t="s">
        <v>248</v>
      </c>
      <c r="K121" s="77">
        <v>0</v>
      </c>
      <c r="L121" s="78" t="s">
        <v>382</v>
      </c>
      <c r="M121" s="75" t="s">
        <v>244</v>
      </c>
      <c r="N121" s="82">
        <v>0</v>
      </c>
    </row>
    <row r="122" spans="2:14" x14ac:dyDescent="0.25">
      <c r="B122" s="74" t="s">
        <v>386</v>
      </c>
      <c r="C122" s="75">
        <v>42036572</v>
      </c>
      <c r="D122" s="75" t="s">
        <v>239</v>
      </c>
      <c r="E122" s="75">
        <v>34</v>
      </c>
      <c r="F122" s="75" t="s">
        <v>240</v>
      </c>
      <c r="G122" s="75" t="s">
        <v>258</v>
      </c>
      <c r="H122" s="75">
        <v>0</v>
      </c>
      <c r="I122" s="76">
        <v>7639</v>
      </c>
      <c r="J122" s="75" t="s">
        <v>262</v>
      </c>
      <c r="K122" s="77">
        <v>0</v>
      </c>
      <c r="L122" s="78" t="s">
        <v>382</v>
      </c>
      <c r="M122" s="75" t="s">
        <v>244</v>
      </c>
      <c r="N122" s="82">
        <v>0</v>
      </c>
    </row>
    <row r="123" spans="2:14" x14ac:dyDescent="0.25">
      <c r="B123" s="74" t="s">
        <v>387</v>
      </c>
      <c r="C123" s="75">
        <v>56150058</v>
      </c>
      <c r="D123" s="75" t="s">
        <v>254</v>
      </c>
      <c r="E123" s="75">
        <v>61</v>
      </c>
      <c r="F123" s="75" t="s">
        <v>240</v>
      </c>
      <c r="G123" s="75" t="s">
        <v>247</v>
      </c>
      <c r="H123" s="75">
        <v>2</v>
      </c>
      <c r="I123" s="76">
        <v>5223</v>
      </c>
      <c r="J123" s="75" t="s">
        <v>256</v>
      </c>
      <c r="K123" s="77">
        <v>0</v>
      </c>
      <c r="L123" s="78" t="s">
        <v>382</v>
      </c>
      <c r="M123" s="75" t="s">
        <v>244</v>
      </c>
      <c r="N123" s="82">
        <v>0</v>
      </c>
    </row>
    <row r="124" spans="2:14" x14ac:dyDescent="0.25">
      <c r="B124" s="74" t="s">
        <v>388</v>
      </c>
      <c r="C124" s="75">
        <v>63841407</v>
      </c>
      <c r="D124" s="75" t="s">
        <v>239</v>
      </c>
      <c r="E124" s="75">
        <v>20</v>
      </c>
      <c r="F124" s="75" t="s">
        <v>246</v>
      </c>
      <c r="G124" s="75" t="s">
        <v>252</v>
      </c>
      <c r="H124" s="75">
        <v>3</v>
      </c>
      <c r="I124" s="76">
        <v>7298</v>
      </c>
      <c r="J124" s="75" t="s">
        <v>262</v>
      </c>
      <c r="K124" s="77">
        <v>0</v>
      </c>
      <c r="L124" s="78" t="s">
        <v>382</v>
      </c>
      <c r="M124" s="75" t="s">
        <v>244</v>
      </c>
      <c r="N124" s="82">
        <v>0</v>
      </c>
    </row>
    <row r="125" spans="2:14" x14ac:dyDescent="0.25">
      <c r="B125" s="74" t="s">
        <v>389</v>
      </c>
      <c r="C125" s="75">
        <v>60138410</v>
      </c>
      <c r="D125" s="75" t="s">
        <v>239</v>
      </c>
      <c r="E125" s="75">
        <v>46</v>
      </c>
      <c r="F125" s="75" t="s">
        <v>240</v>
      </c>
      <c r="G125" s="75" t="s">
        <v>241</v>
      </c>
      <c r="H125" s="75">
        <v>0</v>
      </c>
      <c r="I125" s="76">
        <v>2744</v>
      </c>
      <c r="J125" s="75" t="s">
        <v>248</v>
      </c>
      <c r="K125" s="77">
        <v>0</v>
      </c>
      <c r="L125" s="78" t="s">
        <v>382</v>
      </c>
      <c r="M125" s="75" t="s">
        <v>244</v>
      </c>
      <c r="N125" s="82">
        <v>0</v>
      </c>
    </row>
    <row r="126" spans="2:14" x14ac:dyDescent="0.25">
      <c r="B126" s="74" t="s">
        <v>390</v>
      </c>
      <c r="C126" s="75">
        <v>47636542</v>
      </c>
      <c r="D126" s="75" t="s">
        <v>254</v>
      </c>
      <c r="E126" s="75">
        <v>49</v>
      </c>
      <c r="F126" s="75" t="s">
        <v>240</v>
      </c>
      <c r="G126" s="75" t="s">
        <v>241</v>
      </c>
      <c r="H126" s="75">
        <v>1</v>
      </c>
      <c r="I126" s="76">
        <v>3792</v>
      </c>
      <c r="J126" s="75" t="s">
        <v>256</v>
      </c>
      <c r="K126" s="77">
        <v>0</v>
      </c>
      <c r="L126" s="78" t="s">
        <v>382</v>
      </c>
      <c r="M126" s="75" t="s">
        <v>244</v>
      </c>
      <c r="N126" s="82">
        <v>0</v>
      </c>
    </row>
    <row r="127" spans="2:14" x14ac:dyDescent="0.25">
      <c r="B127" s="74" t="s">
        <v>391</v>
      </c>
      <c r="C127" s="75">
        <v>25296811</v>
      </c>
      <c r="D127" s="75" t="s">
        <v>254</v>
      </c>
      <c r="E127" s="75">
        <v>48</v>
      </c>
      <c r="F127" s="75" t="s">
        <v>240</v>
      </c>
      <c r="G127" s="75" t="s">
        <v>247</v>
      </c>
      <c r="H127" s="75">
        <v>0</v>
      </c>
      <c r="I127" s="76">
        <v>5133</v>
      </c>
      <c r="J127" s="75" t="s">
        <v>248</v>
      </c>
      <c r="K127" s="77">
        <v>10</v>
      </c>
      <c r="L127" s="78" t="s">
        <v>279</v>
      </c>
      <c r="M127" s="75" t="s">
        <v>392</v>
      </c>
      <c r="N127" s="82">
        <v>12832.499999999998</v>
      </c>
    </row>
    <row r="128" spans="2:14" x14ac:dyDescent="0.25">
      <c r="B128" s="74" t="s">
        <v>393</v>
      </c>
      <c r="C128" s="75">
        <v>47242767</v>
      </c>
      <c r="D128" s="75" t="s">
        <v>239</v>
      </c>
      <c r="E128" s="75">
        <v>64</v>
      </c>
      <c r="F128" s="75" t="s">
        <v>240</v>
      </c>
      <c r="G128" s="75" t="s">
        <v>241</v>
      </c>
      <c r="H128" s="75">
        <v>4</v>
      </c>
      <c r="I128" s="76">
        <v>9542</v>
      </c>
      <c r="J128" s="75" t="s">
        <v>242</v>
      </c>
      <c r="K128" s="77">
        <v>10</v>
      </c>
      <c r="L128" s="78" t="s">
        <v>243</v>
      </c>
      <c r="M128" s="75" t="s">
        <v>392</v>
      </c>
      <c r="N128" s="82">
        <v>23855</v>
      </c>
    </row>
    <row r="129" spans="2:14" x14ac:dyDescent="0.25">
      <c r="B129" s="74" t="s">
        <v>394</v>
      </c>
      <c r="C129" s="75">
        <v>59098744</v>
      </c>
      <c r="D129" s="75" t="s">
        <v>239</v>
      </c>
      <c r="E129" s="75">
        <v>35</v>
      </c>
      <c r="F129" s="75" t="s">
        <v>255</v>
      </c>
      <c r="G129" s="75" t="s">
        <v>247</v>
      </c>
      <c r="H129" s="75">
        <v>3</v>
      </c>
      <c r="I129" s="76">
        <v>3301</v>
      </c>
      <c r="J129" s="75" t="s">
        <v>262</v>
      </c>
      <c r="K129" s="77">
        <v>10</v>
      </c>
      <c r="L129" s="78" t="s">
        <v>279</v>
      </c>
      <c r="M129" s="75" t="s">
        <v>392</v>
      </c>
      <c r="N129" s="82">
        <v>8252.5</v>
      </c>
    </row>
    <row r="130" spans="2:14" x14ac:dyDescent="0.25">
      <c r="B130" s="74" t="s">
        <v>395</v>
      </c>
      <c r="C130" s="75">
        <v>54565000</v>
      </c>
      <c r="D130" s="75" t="s">
        <v>239</v>
      </c>
      <c r="E130" s="75">
        <v>60</v>
      </c>
      <c r="F130" s="75" t="s">
        <v>240</v>
      </c>
      <c r="G130" s="75" t="s">
        <v>241</v>
      </c>
      <c r="H130" s="75">
        <v>1</v>
      </c>
      <c r="I130" s="76">
        <v>5665</v>
      </c>
      <c r="J130" s="75" t="s">
        <v>248</v>
      </c>
      <c r="K130" s="77">
        <v>10</v>
      </c>
      <c r="L130" s="78" t="s">
        <v>271</v>
      </c>
      <c r="M130" s="75" t="s">
        <v>392</v>
      </c>
      <c r="N130" s="82">
        <v>14162.5</v>
      </c>
    </row>
    <row r="131" spans="2:14" x14ac:dyDescent="0.25">
      <c r="B131" s="74" t="s">
        <v>396</v>
      </c>
      <c r="C131" s="75">
        <v>27896107</v>
      </c>
      <c r="D131" s="75" t="s">
        <v>254</v>
      </c>
      <c r="E131" s="75">
        <v>29</v>
      </c>
      <c r="F131" s="75" t="s">
        <v>251</v>
      </c>
      <c r="G131" s="75" t="s">
        <v>252</v>
      </c>
      <c r="H131" s="75">
        <v>3</v>
      </c>
      <c r="I131" s="76">
        <v>2839</v>
      </c>
      <c r="J131" s="75" t="s">
        <v>248</v>
      </c>
      <c r="K131" s="77">
        <v>10</v>
      </c>
      <c r="L131" s="78" t="s">
        <v>243</v>
      </c>
      <c r="M131" s="75" t="s">
        <v>392</v>
      </c>
      <c r="N131" s="82">
        <v>7097.4999999999991</v>
      </c>
    </row>
    <row r="132" spans="2:14" x14ac:dyDescent="0.25">
      <c r="B132" s="74" t="s">
        <v>397</v>
      </c>
      <c r="C132" s="75">
        <v>49803016</v>
      </c>
      <c r="D132" s="75" t="s">
        <v>239</v>
      </c>
      <c r="E132" s="75">
        <v>31</v>
      </c>
      <c r="F132" s="75" t="s">
        <v>251</v>
      </c>
      <c r="G132" s="75" t="s">
        <v>247</v>
      </c>
      <c r="H132" s="75">
        <v>2</v>
      </c>
      <c r="I132" s="76">
        <v>4088</v>
      </c>
      <c r="J132" s="75" t="s">
        <v>269</v>
      </c>
      <c r="K132" s="77">
        <v>10</v>
      </c>
      <c r="L132" s="78" t="s">
        <v>209</v>
      </c>
      <c r="M132" s="75" t="s">
        <v>392</v>
      </c>
      <c r="N132" s="82">
        <v>10220</v>
      </c>
    </row>
    <row r="133" spans="2:14" x14ac:dyDescent="0.25">
      <c r="B133" s="74" t="s">
        <v>398</v>
      </c>
      <c r="C133" s="75">
        <v>41503330</v>
      </c>
      <c r="D133" s="75" t="s">
        <v>239</v>
      </c>
      <c r="E133" s="75">
        <v>51</v>
      </c>
      <c r="F133" s="75" t="s">
        <v>255</v>
      </c>
      <c r="G133" s="75" t="s">
        <v>258</v>
      </c>
      <c r="H133" s="75">
        <v>3</v>
      </c>
      <c r="I133" s="76">
        <v>4775</v>
      </c>
      <c r="J133" s="75" t="s">
        <v>248</v>
      </c>
      <c r="K133" s="77">
        <v>10</v>
      </c>
      <c r="L133" s="78" t="s">
        <v>214</v>
      </c>
      <c r="M133" s="75" t="s">
        <v>392</v>
      </c>
      <c r="N133" s="82">
        <v>11937.5</v>
      </c>
    </row>
    <row r="134" spans="2:14" x14ac:dyDescent="0.25">
      <c r="B134" s="74" t="s">
        <v>399</v>
      </c>
      <c r="C134" s="75">
        <v>56566443</v>
      </c>
      <c r="D134" s="75" t="s">
        <v>254</v>
      </c>
      <c r="E134" s="75">
        <v>58</v>
      </c>
      <c r="F134" s="75" t="s">
        <v>240</v>
      </c>
      <c r="G134" s="75" t="s">
        <v>258</v>
      </c>
      <c r="H134" s="75">
        <v>1</v>
      </c>
      <c r="I134" s="76">
        <v>6348</v>
      </c>
      <c r="J134" s="75" t="s">
        <v>242</v>
      </c>
      <c r="K134" s="77">
        <v>10</v>
      </c>
      <c r="L134" s="78" t="s">
        <v>209</v>
      </c>
      <c r="M134" s="75" t="s">
        <v>392</v>
      </c>
      <c r="N134" s="82">
        <v>15869.999999999998</v>
      </c>
    </row>
    <row r="135" spans="2:14" x14ac:dyDescent="0.25">
      <c r="B135" s="74" t="s">
        <v>400</v>
      </c>
      <c r="C135" s="75">
        <v>70350780</v>
      </c>
      <c r="D135" s="75" t="s">
        <v>254</v>
      </c>
      <c r="E135" s="75">
        <v>45</v>
      </c>
      <c r="F135" s="75" t="s">
        <v>240</v>
      </c>
      <c r="G135" s="75" t="s">
        <v>241</v>
      </c>
      <c r="H135" s="75">
        <v>4</v>
      </c>
      <c r="I135" s="76">
        <v>2819</v>
      </c>
      <c r="J135" s="75" t="s">
        <v>269</v>
      </c>
      <c r="K135" s="77">
        <v>10</v>
      </c>
      <c r="L135" s="78" t="s">
        <v>243</v>
      </c>
      <c r="M135" s="75" t="s">
        <v>392</v>
      </c>
      <c r="N135" s="82">
        <v>7047.4999999999991</v>
      </c>
    </row>
    <row r="136" spans="2:14" x14ac:dyDescent="0.25">
      <c r="B136" s="74" t="s">
        <v>401</v>
      </c>
      <c r="C136" s="75">
        <v>32184491</v>
      </c>
      <c r="D136" s="75" t="s">
        <v>239</v>
      </c>
      <c r="E136" s="75">
        <v>32</v>
      </c>
      <c r="F136" s="75" t="s">
        <v>240</v>
      </c>
      <c r="G136" s="75" t="s">
        <v>252</v>
      </c>
      <c r="H136" s="75">
        <v>3</v>
      </c>
      <c r="I136" s="76">
        <v>4939</v>
      </c>
      <c r="J136" s="75" t="s">
        <v>269</v>
      </c>
      <c r="K136" s="77">
        <v>10</v>
      </c>
      <c r="L136" s="78" t="s">
        <v>271</v>
      </c>
      <c r="M136" s="75" t="s">
        <v>392</v>
      </c>
      <c r="N136" s="82">
        <v>12347.5</v>
      </c>
    </row>
    <row r="137" spans="2:14" x14ac:dyDescent="0.25">
      <c r="B137" s="74" t="s">
        <v>402</v>
      </c>
      <c r="C137" s="75">
        <v>53678144</v>
      </c>
      <c r="D137" s="75" t="s">
        <v>254</v>
      </c>
      <c r="E137" s="75">
        <v>29</v>
      </c>
      <c r="F137" s="75" t="s">
        <v>240</v>
      </c>
      <c r="G137" s="75" t="s">
        <v>252</v>
      </c>
      <c r="H137" s="75">
        <v>4</v>
      </c>
      <c r="I137" s="76">
        <v>8381</v>
      </c>
      <c r="J137" s="75" t="s">
        <v>262</v>
      </c>
      <c r="K137" s="77">
        <v>10</v>
      </c>
      <c r="L137" s="78" t="s">
        <v>213</v>
      </c>
      <c r="M137" s="75" t="s">
        <v>392</v>
      </c>
      <c r="N137" s="82">
        <v>20952.5</v>
      </c>
    </row>
    <row r="138" spans="2:14" x14ac:dyDescent="0.25">
      <c r="B138" s="74" t="s">
        <v>403</v>
      </c>
      <c r="C138" s="75">
        <v>57754797</v>
      </c>
      <c r="D138" s="75" t="s">
        <v>239</v>
      </c>
      <c r="E138" s="75">
        <v>52</v>
      </c>
      <c r="F138" s="75" t="s">
        <v>251</v>
      </c>
      <c r="G138" s="75" t="s">
        <v>258</v>
      </c>
      <c r="H138" s="75">
        <v>2</v>
      </c>
      <c r="I138" s="76">
        <v>2252</v>
      </c>
      <c r="J138" s="75" t="s">
        <v>269</v>
      </c>
      <c r="K138" s="77">
        <v>10</v>
      </c>
      <c r="L138" s="78" t="s">
        <v>213</v>
      </c>
      <c r="M138" s="75" t="s">
        <v>392</v>
      </c>
      <c r="N138" s="82">
        <v>5630</v>
      </c>
    </row>
    <row r="139" spans="2:14" x14ac:dyDescent="0.25">
      <c r="B139" s="74" t="s">
        <v>404</v>
      </c>
      <c r="C139" s="75">
        <v>27499753</v>
      </c>
      <c r="D139" s="75" t="s">
        <v>254</v>
      </c>
      <c r="E139" s="75">
        <v>36</v>
      </c>
      <c r="F139" s="75" t="s">
        <v>251</v>
      </c>
      <c r="G139" s="75" t="s">
        <v>258</v>
      </c>
      <c r="H139" s="75">
        <v>2</v>
      </c>
      <c r="I139" s="76">
        <v>8030</v>
      </c>
      <c r="J139" s="75" t="s">
        <v>256</v>
      </c>
      <c r="K139" s="77">
        <v>10</v>
      </c>
      <c r="L139" s="78" t="s">
        <v>193</v>
      </c>
      <c r="M139" s="75" t="s">
        <v>392</v>
      </c>
      <c r="N139" s="82">
        <v>20075</v>
      </c>
    </row>
    <row r="140" spans="2:14" x14ac:dyDescent="0.25">
      <c r="B140" s="74" t="s">
        <v>405</v>
      </c>
      <c r="C140" s="75">
        <v>52233629</v>
      </c>
      <c r="D140" s="75" t="s">
        <v>239</v>
      </c>
      <c r="E140" s="75">
        <v>33</v>
      </c>
      <c r="F140" s="75" t="s">
        <v>255</v>
      </c>
      <c r="G140" s="75" t="s">
        <v>252</v>
      </c>
      <c r="H140" s="75">
        <v>1</v>
      </c>
      <c r="I140" s="76">
        <v>8786</v>
      </c>
      <c r="J140" s="75" t="s">
        <v>242</v>
      </c>
      <c r="K140" s="77">
        <v>10</v>
      </c>
      <c r="L140" s="78" t="s">
        <v>279</v>
      </c>
      <c r="M140" s="75" t="s">
        <v>392</v>
      </c>
      <c r="N140" s="82">
        <v>21965</v>
      </c>
    </row>
    <row r="141" spans="2:14" x14ac:dyDescent="0.25">
      <c r="B141" s="74" t="s">
        <v>406</v>
      </c>
      <c r="C141" s="75">
        <v>66282051</v>
      </c>
      <c r="D141" s="75" t="s">
        <v>254</v>
      </c>
      <c r="E141" s="75">
        <v>54</v>
      </c>
      <c r="F141" s="75" t="s">
        <v>246</v>
      </c>
      <c r="G141" s="75" t="s">
        <v>247</v>
      </c>
      <c r="H141" s="75">
        <v>0</v>
      </c>
      <c r="I141" s="76">
        <v>5557</v>
      </c>
      <c r="J141" s="75" t="s">
        <v>242</v>
      </c>
      <c r="K141" s="77">
        <v>10</v>
      </c>
      <c r="L141" s="78" t="s">
        <v>279</v>
      </c>
      <c r="M141" s="75" t="s">
        <v>392</v>
      </c>
      <c r="N141" s="82">
        <v>13892.500000000002</v>
      </c>
    </row>
    <row r="142" spans="2:14" x14ac:dyDescent="0.25">
      <c r="B142" s="74" t="s">
        <v>407</v>
      </c>
      <c r="C142" s="75">
        <v>62977517</v>
      </c>
      <c r="D142" s="75" t="s">
        <v>239</v>
      </c>
      <c r="E142" s="75">
        <v>64</v>
      </c>
      <c r="F142" s="75" t="s">
        <v>240</v>
      </c>
      <c r="G142" s="75" t="s">
        <v>252</v>
      </c>
      <c r="H142" s="75">
        <v>0</v>
      </c>
      <c r="I142" s="76">
        <v>7696</v>
      </c>
      <c r="J142" s="75" t="s">
        <v>269</v>
      </c>
      <c r="K142" s="77">
        <v>9</v>
      </c>
      <c r="L142" s="78" t="s">
        <v>203</v>
      </c>
      <c r="M142" s="75" t="s">
        <v>392</v>
      </c>
      <c r="N142" s="82">
        <v>17316</v>
      </c>
    </row>
    <row r="143" spans="2:14" x14ac:dyDescent="0.25">
      <c r="B143" s="74" t="s">
        <v>408</v>
      </c>
      <c r="C143" s="75">
        <v>39159330</v>
      </c>
      <c r="D143" s="75" t="s">
        <v>239</v>
      </c>
      <c r="E143" s="75">
        <v>19</v>
      </c>
      <c r="F143" s="75" t="s">
        <v>246</v>
      </c>
      <c r="G143" s="75" t="s">
        <v>258</v>
      </c>
      <c r="H143" s="75">
        <v>0</v>
      </c>
      <c r="I143" s="76">
        <v>9259</v>
      </c>
      <c r="J143" s="75" t="s">
        <v>248</v>
      </c>
      <c r="K143" s="77">
        <v>9</v>
      </c>
      <c r="L143" s="78" t="s">
        <v>243</v>
      </c>
      <c r="M143" s="75" t="s">
        <v>392</v>
      </c>
      <c r="N143" s="82">
        <v>20832.75</v>
      </c>
    </row>
    <row r="144" spans="2:14" x14ac:dyDescent="0.25">
      <c r="B144" s="74" t="s">
        <v>409</v>
      </c>
      <c r="C144" s="75">
        <v>66142592</v>
      </c>
      <c r="D144" s="75" t="s">
        <v>254</v>
      </c>
      <c r="E144" s="75">
        <v>20</v>
      </c>
      <c r="F144" s="75" t="s">
        <v>251</v>
      </c>
      <c r="G144" s="75" t="s">
        <v>247</v>
      </c>
      <c r="H144" s="75">
        <v>2</v>
      </c>
      <c r="I144" s="76">
        <v>7766</v>
      </c>
      <c r="J144" s="75" t="s">
        <v>262</v>
      </c>
      <c r="K144" s="77">
        <v>9</v>
      </c>
      <c r="L144" s="78" t="s">
        <v>243</v>
      </c>
      <c r="M144" s="75" t="s">
        <v>392</v>
      </c>
      <c r="N144" s="82">
        <v>17473.5</v>
      </c>
    </row>
    <row r="145" spans="2:14" x14ac:dyDescent="0.25">
      <c r="B145" s="74" t="s">
        <v>410</v>
      </c>
      <c r="C145" s="75">
        <v>53739454</v>
      </c>
      <c r="D145" s="75" t="s">
        <v>239</v>
      </c>
      <c r="E145" s="75">
        <v>65</v>
      </c>
      <c r="F145" s="75" t="s">
        <v>246</v>
      </c>
      <c r="G145" s="75" t="s">
        <v>252</v>
      </c>
      <c r="H145" s="75">
        <v>2</v>
      </c>
      <c r="I145" s="76">
        <v>8134</v>
      </c>
      <c r="J145" s="75" t="s">
        <v>269</v>
      </c>
      <c r="K145" s="77">
        <v>9</v>
      </c>
      <c r="L145" s="78" t="s">
        <v>203</v>
      </c>
      <c r="M145" s="75" t="s">
        <v>392</v>
      </c>
      <c r="N145" s="82">
        <v>18301.5</v>
      </c>
    </row>
    <row r="146" spans="2:14" x14ac:dyDescent="0.25">
      <c r="B146" s="74" t="s">
        <v>411</v>
      </c>
      <c r="C146" s="75">
        <v>49485944</v>
      </c>
      <c r="D146" s="75" t="s">
        <v>254</v>
      </c>
      <c r="E146" s="75">
        <v>43</v>
      </c>
      <c r="F146" s="75" t="s">
        <v>251</v>
      </c>
      <c r="G146" s="75" t="s">
        <v>258</v>
      </c>
      <c r="H146" s="75">
        <v>2</v>
      </c>
      <c r="I146" s="76">
        <v>4508</v>
      </c>
      <c r="J146" s="75" t="s">
        <v>262</v>
      </c>
      <c r="K146" s="77">
        <v>9</v>
      </c>
      <c r="L146" s="78" t="s">
        <v>203</v>
      </c>
      <c r="M146" s="75" t="s">
        <v>392</v>
      </c>
      <c r="N146" s="82">
        <v>10143</v>
      </c>
    </row>
    <row r="147" spans="2:14" x14ac:dyDescent="0.25">
      <c r="B147" s="74" t="s">
        <v>412</v>
      </c>
      <c r="C147" s="75">
        <v>56959333</v>
      </c>
      <c r="D147" s="75" t="s">
        <v>239</v>
      </c>
      <c r="E147" s="75">
        <v>32</v>
      </c>
      <c r="F147" s="75" t="s">
        <v>255</v>
      </c>
      <c r="G147" s="75" t="s">
        <v>247</v>
      </c>
      <c r="H147" s="75">
        <v>1</v>
      </c>
      <c r="I147" s="76">
        <v>5674</v>
      </c>
      <c r="J147" s="75" t="s">
        <v>269</v>
      </c>
      <c r="K147" s="77">
        <v>9</v>
      </c>
      <c r="L147" s="78" t="s">
        <v>203</v>
      </c>
      <c r="M147" s="75" t="s">
        <v>392</v>
      </c>
      <c r="N147" s="82">
        <v>12766.5</v>
      </c>
    </row>
    <row r="148" spans="2:14" x14ac:dyDescent="0.25">
      <c r="B148" s="74" t="s">
        <v>413</v>
      </c>
      <c r="C148" s="75">
        <v>70075699</v>
      </c>
      <c r="D148" s="75" t="s">
        <v>239</v>
      </c>
      <c r="E148" s="75">
        <v>37</v>
      </c>
      <c r="F148" s="75" t="s">
        <v>255</v>
      </c>
      <c r="G148" s="75" t="s">
        <v>241</v>
      </c>
      <c r="H148" s="75">
        <v>0</v>
      </c>
      <c r="I148" s="76">
        <v>3846</v>
      </c>
      <c r="J148" s="75" t="s">
        <v>262</v>
      </c>
      <c r="K148" s="77">
        <v>9</v>
      </c>
      <c r="L148" s="78" t="s">
        <v>193</v>
      </c>
      <c r="M148" s="75" t="s">
        <v>392</v>
      </c>
      <c r="N148" s="82">
        <v>8653.5</v>
      </c>
    </row>
    <row r="149" spans="2:14" x14ac:dyDescent="0.25">
      <c r="B149" s="74" t="s">
        <v>414</v>
      </c>
      <c r="C149" s="75">
        <v>68039700</v>
      </c>
      <c r="D149" s="75" t="s">
        <v>239</v>
      </c>
      <c r="E149" s="75">
        <v>53</v>
      </c>
      <c r="F149" s="75" t="s">
        <v>240</v>
      </c>
      <c r="G149" s="75" t="s">
        <v>252</v>
      </c>
      <c r="H149" s="75">
        <v>2</v>
      </c>
      <c r="I149" s="76">
        <v>6827</v>
      </c>
      <c r="J149" s="75" t="s">
        <v>256</v>
      </c>
      <c r="K149" s="77">
        <v>9</v>
      </c>
      <c r="L149" s="78" t="s">
        <v>203</v>
      </c>
      <c r="M149" s="75" t="s">
        <v>392</v>
      </c>
      <c r="N149" s="82">
        <v>15360.749999999998</v>
      </c>
    </row>
    <row r="150" spans="2:14" x14ac:dyDescent="0.25">
      <c r="B150" s="74" t="s">
        <v>415</v>
      </c>
      <c r="C150" s="75">
        <v>24844305</v>
      </c>
      <c r="D150" s="75" t="s">
        <v>239</v>
      </c>
      <c r="E150" s="75">
        <v>29</v>
      </c>
      <c r="F150" s="75" t="s">
        <v>246</v>
      </c>
      <c r="G150" s="75" t="s">
        <v>258</v>
      </c>
      <c r="H150" s="75">
        <v>1</v>
      </c>
      <c r="I150" s="76">
        <v>9128</v>
      </c>
      <c r="J150" s="75" t="s">
        <v>256</v>
      </c>
      <c r="K150" s="77">
        <v>9</v>
      </c>
      <c r="L150" s="78" t="s">
        <v>215</v>
      </c>
      <c r="M150" s="75" t="s">
        <v>392</v>
      </c>
      <c r="N150" s="82">
        <v>20538</v>
      </c>
    </row>
    <row r="151" spans="2:14" x14ac:dyDescent="0.25">
      <c r="B151" s="74" t="s">
        <v>416</v>
      </c>
      <c r="C151" s="75">
        <v>41064065</v>
      </c>
      <c r="D151" s="75" t="s">
        <v>254</v>
      </c>
      <c r="E151" s="75">
        <v>26</v>
      </c>
      <c r="F151" s="75" t="s">
        <v>240</v>
      </c>
      <c r="G151" s="75" t="s">
        <v>252</v>
      </c>
      <c r="H151" s="75">
        <v>2</v>
      </c>
      <c r="I151" s="76">
        <v>3964</v>
      </c>
      <c r="J151" s="75" t="s">
        <v>262</v>
      </c>
      <c r="K151" s="77">
        <v>9</v>
      </c>
      <c r="L151" s="78" t="s">
        <v>279</v>
      </c>
      <c r="M151" s="75" t="s">
        <v>392</v>
      </c>
      <c r="N151" s="82">
        <v>8919</v>
      </c>
    </row>
    <row r="152" spans="2:14" x14ac:dyDescent="0.25">
      <c r="B152" s="74" t="s">
        <v>417</v>
      </c>
      <c r="C152" s="75">
        <v>50939853</v>
      </c>
      <c r="D152" s="75" t="s">
        <v>254</v>
      </c>
      <c r="E152" s="75">
        <v>39</v>
      </c>
      <c r="F152" s="75" t="s">
        <v>255</v>
      </c>
      <c r="G152" s="75" t="s">
        <v>247</v>
      </c>
      <c r="H152" s="75">
        <v>0</v>
      </c>
      <c r="I152" s="76">
        <v>9443</v>
      </c>
      <c r="J152" s="75" t="s">
        <v>242</v>
      </c>
      <c r="K152" s="77">
        <v>9</v>
      </c>
      <c r="L152" s="78" t="s">
        <v>193</v>
      </c>
      <c r="M152" s="75" t="s">
        <v>392</v>
      </c>
      <c r="N152" s="82">
        <v>21246.75</v>
      </c>
    </row>
    <row r="153" spans="2:14" x14ac:dyDescent="0.25">
      <c r="B153" s="74" t="s">
        <v>418</v>
      </c>
      <c r="C153" s="75">
        <v>67834824</v>
      </c>
      <c r="D153" s="75" t="s">
        <v>254</v>
      </c>
      <c r="E153" s="75">
        <v>27</v>
      </c>
      <c r="F153" s="75" t="s">
        <v>240</v>
      </c>
      <c r="G153" s="75" t="s">
        <v>252</v>
      </c>
      <c r="H153" s="75">
        <v>0</v>
      </c>
      <c r="I153" s="76">
        <v>5463</v>
      </c>
      <c r="J153" s="75" t="s">
        <v>262</v>
      </c>
      <c r="K153" s="77">
        <v>9</v>
      </c>
      <c r="L153" s="78" t="s">
        <v>214</v>
      </c>
      <c r="M153" s="75" t="s">
        <v>392</v>
      </c>
      <c r="N153" s="82">
        <v>12291.75</v>
      </c>
    </row>
    <row r="154" spans="2:14" x14ac:dyDescent="0.25">
      <c r="B154" s="74" t="s">
        <v>419</v>
      </c>
      <c r="C154" s="75">
        <v>36087236</v>
      </c>
      <c r="D154" s="75" t="s">
        <v>239</v>
      </c>
      <c r="E154" s="75">
        <v>45</v>
      </c>
      <c r="F154" s="75" t="s">
        <v>246</v>
      </c>
      <c r="G154" s="75" t="s">
        <v>241</v>
      </c>
      <c r="H154" s="75">
        <v>0</v>
      </c>
      <c r="I154" s="76">
        <v>6383</v>
      </c>
      <c r="J154" s="75" t="s">
        <v>242</v>
      </c>
      <c r="K154" s="77">
        <v>9</v>
      </c>
      <c r="L154" s="78" t="s">
        <v>214</v>
      </c>
      <c r="M154" s="75" t="s">
        <v>392</v>
      </c>
      <c r="N154" s="82">
        <v>14361.75</v>
      </c>
    </row>
    <row r="155" spans="2:14" x14ac:dyDescent="0.25">
      <c r="B155" s="74" t="s">
        <v>420</v>
      </c>
      <c r="C155" s="75">
        <v>51552413</v>
      </c>
      <c r="D155" s="75" t="s">
        <v>239</v>
      </c>
      <c r="E155" s="75">
        <v>63</v>
      </c>
      <c r="F155" s="75" t="s">
        <v>255</v>
      </c>
      <c r="G155" s="75" t="s">
        <v>247</v>
      </c>
      <c r="H155" s="75">
        <v>2</v>
      </c>
      <c r="I155" s="76">
        <v>6633</v>
      </c>
      <c r="J155" s="75" t="s">
        <v>248</v>
      </c>
      <c r="K155" s="77">
        <v>9</v>
      </c>
      <c r="L155" s="78" t="s">
        <v>213</v>
      </c>
      <c r="M155" s="75" t="s">
        <v>392</v>
      </c>
      <c r="N155" s="82">
        <v>14924.25</v>
      </c>
    </row>
    <row r="156" spans="2:14" x14ac:dyDescent="0.25">
      <c r="B156" s="74" t="s">
        <v>421</v>
      </c>
      <c r="C156" s="75">
        <v>62103249</v>
      </c>
      <c r="D156" s="75" t="s">
        <v>239</v>
      </c>
      <c r="E156" s="75">
        <v>41</v>
      </c>
      <c r="F156" s="75" t="s">
        <v>255</v>
      </c>
      <c r="G156" s="75" t="s">
        <v>252</v>
      </c>
      <c r="H156" s="75">
        <v>1</v>
      </c>
      <c r="I156" s="76">
        <v>4876</v>
      </c>
      <c r="J156" s="75" t="s">
        <v>248</v>
      </c>
      <c r="K156" s="77">
        <v>8</v>
      </c>
      <c r="L156" s="78" t="s">
        <v>279</v>
      </c>
      <c r="M156" s="75" t="s">
        <v>392</v>
      </c>
      <c r="N156" s="82">
        <v>9752</v>
      </c>
    </row>
    <row r="157" spans="2:14" x14ac:dyDescent="0.25">
      <c r="B157" s="74" t="s">
        <v>422</v>
      </c>
      <c r="C157" s="75">
        <v>68669991</v>
      </c>
      <c r="D157" s="75" t="s">
        <v>254</v>
      </c>
      <c r="E157" s="75">
        <v>32</v>
      </c>
      <c r="F157" s="75" t="s">
        <v>251</v>
      </c>
      <c r="G157" s="75" t="s">
        <v>241</v>
      </c>
      <c r="H157" s="75">
        <v>2</v>
      </c>
      <c r="I157" s="76">
        <v>8019</v>
      </c>
      <c r="J157" s="75" t="s">
        <v>269</v>
      </c>
      <c r="K157" s="77">
        <v>8</v>
      </c>
      <c r="L157" s="78" t="s">
        <v>213</v>
      </c>
      <c r="M157" s="75" t="s">
        <v>392</v>
      </c>
      <c r="N157" s="82">
        <v>16038</v>
      </c>
    </row>
    <row r="158" spans="2:14" x14ac:dyDescent="0.25">
      <c r="B158" s="74" t="s">
        <v>423</v>
      </c>
      <c r="C158" s="75">
        <v>26426799</v>
      </c>
      <c r="D158" s="75" t="s">
        <v>254</v>
      </c>
      <c r="E158" s="75">
        <v>64</v>
      </c>
      <c r="F158" s="75" t="s">
        <v>251</v>
      </c>
      <c r="G158" s="75" t="s">
        <v>241</v>
      </c>
      <c r="H158" s="75">
        <v>2</v>
      </c>
      <c r="I158" s="76">
        <v>3428</v>
      </c>
      <c r="J158" s="75" t="s">
        <v>248</v>
      </c>
      <c r="K158" s="77">
        <v>8</v>
      </c>
      <c r="L158" s="78" t="s">
        <v>203</v>
      </c>
      <c r="M158" s="75" t="s">
        <v>392</v>
      </c>
      <c r="N158" s="82">
        <v>6856</v>
      </c>
    </row>
    <row r="159" spans="2:14" x14ac:dyDescent="0.25">
      <c r="B159" s="74" t="s">
        <v>424</v>
      </c>
      <c r="C159" s="75">
        <v>67381866</v>
      </c>
      <c r="D159" s="75" t="s">
        <v>254</v>
      </c>
      <c r="E159" s="75">
        <v>22</v>
      </c>
      <c r="F159" s="75" t="s">
        <v>255</v>
      </c>
      <c r="G159" s="75" t="s">
        <v>258</v>
      </c>
      <c r="H159" s="75">
        <v>1</v>
      </c>
      <c r="I159" s="76">
        <v>9308</v>
      </c>
      <c r="J159" s="75" t="s">
        <v>242</v>
      </c>
      <c r="K159" s="77">
        <v>8</v>
      </c>
      <c r="L159" s="78" t="s">
        <v>215</v>
      </c>
      <c r="M159" s="75" t="s">
        <v>392</v>
      </c>
      <c r="N159" s="82">
        <v>18616</v>
      </c>
    </row>
    <row r="160" spans="2:14" x14ac:dyDescent="0.25">
      <c r="B160" s="74" t="s">
        <v>425</v>
      </c>
      <c r="C160" s="75">
        <v>60095131</v>
      </c>
      <c r="D160" s="75" t="s">
        <v>254</v>
      </c>
      <c r="E160" s="75">
        <v>60</v>
      </c>
      <c r="F160" s="75" t="s">
        <v>246</v>
      </c>
      <c r="G160" s="75" t="s">
        <v>258</v>
      </c>
      <c r="H160" s="75">
        <v>1</v>
      </c>
      <c r="I160" s="76">
        <v>9010</v>
      </c>
      <c r="J160" s="75" t="s">
        <v>248</v>
      </c>
      <c r="K160" s="77">
        <v>8</v>
      </c>
      <c r="L160" s="78" t="s">
        <v>271</v>
      </c>
      <c r="M160" s="75" t="s">
        <v>392</v>
      </c>
      <c r="N160" s="82">
        <v>18020</v>
      </c>
    </row>
    <row r="161" spans="2:14" x14ac:dyDescent="0.25">
      <c r="B161" s="74" t="s">
        <v>426</v>
      </c>
      <c r="C161" s="75">
        <v>39398954</v>
      </c>
      <c r="D161" s="75" t="s">
        <v>254</v>
      </c>
      <c r="E161" s="75">
        <v>27</v>
      </c>
      <c r="F161" s="75" t="s">
        <v>246</v>
      </c>
      <c r="G161" s="75" t="s">
        <v>247</v>
      </c>
      <c r="H161" s="75">
        <v>4</v>
      </c>
      <c r="I161" s="76">
        <v>3874</v>
      </c>
      <c r="J161" s="75" t="s">
        <v>242</v>
      </c>
      <c r="K161" s="77">
        <v>8</v>
      </c>
      <c r="L161" s="78" t="s">
        <v>263</v>
      </c>
      <c r="M161" s="75" t="s">
        <v>392</v>
      </c>
      <c r="N161" s="82">
        <v>7748</v>
      </c>
    </row>
    <row r="162" spans="2:14" x14ac:dyDescent="0.25">
      <c r="B162" s="74" t="s">
        <v>427</v>
      </c>
      <c r="C162" s="75">
        <v>47326646</v>
      </c>
      <c r="D162" s="75" t="s">
        <v>254</v>
      </c>
      <c r="E162" s="75">
        <v>19</v>
      </c>
      <c r="F162" s="75" t="s">
        <v>251</v>
      </c>
      <c r="G162" s="75" t="s">
        <v>241</v>
      </c>
      <c r="H162" s="75">
        <v>1</v>
      </c>
      <c r="I162" s="76">
        <v>7373</v>
      </c>
      <c r="J162" s="75" t="s">
        <v>262</v>
      </c>
      <c r="K162" s="77">
        <v>8</v>
      </c>
      <c r="L162" s="78" t="s">
        <v>214</v>
      </c>
      <c r="M162" s="75" t="s">
        <v>392</v>
      </c>
      <c r="N162" s="82">
        <v>14746</v>
      </c>
    </row>
    <row r="163" spans="2:14" x14ac:dyDescent="0.25">
      <c r="B163" s="74" t="s">
        <v>428</v>
      </c>
      <c r="C163" s="75">
        <v>48848497</v>
      </c>
      <c r="D163" s="75" t="s">
        <v>239</v>
      </c>
      <c r="E163" s="75">
        <v>49</v>
      </c>
      <c r="F163" s="75" t="s">
        <v>251</v>
      </c>
      <c r="G163" s="75" t="s">
        <v>252</v>
      </c>
      <c r="H163" s="75">
        <v>0</v>
      </c>
      <c r="I163" s="76">
        <v>8472</v>
      </c>
      <c r="J163" s="75" t="s">
        <v>248</v>
      </c>
      <c r="K163" s="77">
        <v>8</v>
      </c>
      <c r="L163" s="78" t="s">
        <v>279</v>
      </c>
      <c r="M163" s="75" t="s">
        <v>392</v>
      </c>
      <c r="N163" s="82">
        <v>16944</v>
      </c>
    </row>
    <row r="164" spans="2:14" x14ac:dyDescent="0.25">
      <c r="B164" s="74" t="s">
        <v>429</v>
      </c>
      <c r="C164" s="75">
        <v>24667881</v>
      </c>
      <c r="D164" s="75" t="s">
        <v>239</v>
      </c>
      <c r="E164" s="75">
        <v>29</v>
      </c>
      <c r="F164" s="75" t="s">
        <v>246</v>
      </c>
      <c r="G164" s="75" t="s">
        <v>252</v>
      </c>
      <c r="H164" s="75">
        <v>1</v>
      </c>
      <c r="I164" s="76">
        <v>5329</v>
      </c>
      <c r="J164" s="75" t="s">
        <v>269</v>
      </c>
      <c r="K164" s="77">
        <v>8</v>
      </c>
      <c r="L164" s="78" t="s">
        <v>243</v>
      </c>
      <c r="M164" s="75" t="s">
        <v>392</v>
      </c>
      <c r="N164" s="82">
        <v>10658</v>
      </c>
    </row>
    <row r="165" spans="2:14" x14ac:dyDescent="0.25">
      <c r="B165" s="74" t="s">
        <v>430</v>
      </c>
      <c r="C165" s="75">
        <v>68831719</v>
      </c>
      <c r="D165" s="75" t="s">
        <v>254</v>
      </c>
      <c r="E165" s="75">
        <v>47</v>
      </c>
      <c r="F165" s="75" t="s">
        <v>246</v>
      </c>
      <c r="G165" s="75" t="s">
        <v>258</v>
      </c>
      <c r="H165" s="75">
        <v>0</v>
      </c>
      <c r="I165" s="76">
        <v>5068</v>
      </c>
      <c r="J165" s="75" t="s">
        <v>256</v>
      </c>
      <c r="K165" s="77">
        <v>7</v>
      </c>
      <c r="L165" s="78" t="s">
        <v>243</v>
      </c>
      <c r="M165" s="75" t="s">
        <v>392</v>
      </c>
      <c r="N165" s="82">
        <v>8869</v>
      </c>
    </row>
    <row r="166" spans="2:14" x14ac:dyDescent="0.25">
      <c r="B166" s="74" t="s">
        <v>431</v>
      </c>
      <c r="C166" s="75">
        <v>66888305</v>
      </c>
      <c r="D166" s="75" t="s">
        <v>254</v>
      </c>
      <c r="E166" s="75">
        <v>36</v>
      </c>
      <c r="F166" s="75" t="s">
        <v>251</v>
      </c>
      <c r="G166" s="75" t="s">
        <v>241</v>
      </c>
      <c r="H166" s="75">
        <v>2</v>
      </c>
      <c r="I166" s="76">
        <v>3786</v>
      </c>
      <c r="J166" s="75" t="s">
        <v>256</v>
      </c>
      <c r="K166" s="77">
        <v>7</v>
      </c>
      <c r="L166" s="78" t="s">
        <v>193</v>
      </c>
      <c r="M166" s="75" t="s">
        <v>392</v>
      </c>
      <c r="N166" s="82">
        <v>6625.5</v>
      </c>
    </row>
    <row r="167" spans="2:14" x14ac:dyDescent="0.25">
      <c r="B167" s="74" t="s">
        <v>432</v>
      </c>
      <c r="C167" s="75">
        <v>67996097</v>
      </c>
      <c r="D167" s="75" t="s">
        <v>239</v>
      </c>
      <c r="E167" s="75">
        <v>51</v>
      </c>
      <c r="F167" s="75" t="s">
        <v>240</v>
      </c>
      <c r="G167" s="75" t="s">
        <v>241</v>
      </c>
      <c r="H167" s="75">
        <v>2</v>
      </c>
      <c r="I167" s="76">
        <v>7525</v>
      </c>
      <c r="J167" s="75" t="s">
        <v>262</v>
      </c>
      <c r="K167" s="77">
        <v>7</v>
      </c>
      <c r="L167" s="78" t="s">
        <v>203</v>
      </c>
      <c r="M167" s="75" t="s">
        <v>392</v>
      </c>
      <c r="N167" s="82">
        <v>13168.75</v>
      </c>
    </row>
    <row r="168" spans="2:14" x14ac:dyDescent="0.25">
      <c r="B168" s="74" t="s">
        <v>433</v>
      </c>
      <c r="C168" s="75">
        <v>59490962</v>
      </c>
      <c r="D168" s="75" t="s">
        <v>239</v>
      </c>
      <c r="E168" s="75">
        <v>38</v>
      </c>
      <c r="F168" s="75" t="s">
        <v>255</v>
      </c>
      <c r="G168" s="75" t="s">
        <v>258</v>
      </c>
      <c r="H168" s="75">
        <v>2</v>
      </c>
      <c r="I168" s="76">
        <v>3931</v>
      </c>
      <c r="J168" s="75" t="s">
        <v>248</v>
      </c>
      <c r="K168" s="77">
        <v>7</v>
      </c>
      <c r="L168" s="78" t="s">
        <v>215</v>
      </c>
      <c r="M168" s="75" t="s">
        <v>392</v>
      </c>
      <c r="N168" s="82">
        <v>6879.25</v>
      </c>
    </row>
    <row r="169" spans="2:14" x14ac:dyDescent="0.25">
      <c r="B169" s="74" t="s">
        <v>434</v>
      </c>
      <c r="C169" s="75">
        <v>49830687</v>
      </c>
      <c r="D169" s="75" t="s">
        <v>239</v>
      </c>
      <c r="E169" s="75">
        <v>34</v>
      </c>
      <c r="F169" s="75" t="s">
        <v>251</v>
      </c>
      <c r="G169" s="75" t="s">
        <v>252</v>
      </c>
      <c r="H169" s="75">
        <v>2</v>
      </c>
      <c r="I169" s="76">
        <v>6953</v>
      </c>
      <c r="J169" s="75" t="s">
        <v>248</v>
      </c>
      <c r="K169" s="77">
        <v>7</v>
      </c>
      <c r="L169" s="78" t="s">
        <v>209</v>
      </c>
      <c r="M169" s="75" t="s">
        <v>392</v>
      </c>
      <c r="N169" s="82">
        <v>12167.75</v>
      </c>
    </row>
    <row r="170" spans="2:14" x14ac:dyDescent="0.25">
      <c r="B170" s="74" t="s">
        <v>435</v>
      </c>
      <c r="C170" s="75">
        <v>50686597</v>
      </c>
      <c r="D170" s="75" t="s">
        <v>239</v>
      </c>
      <c r="E170" s="75">
        <v>26</v>
      </c>
      <c r="F170" s="75" t="s">
        <v>240</v>
      </c>
      <c r="G170" s="75" t="s">
        <v>258</v>
      </c>
      <c r="H170" s="75">
        <v>1</v>
      </c>
      <c r="I170" s="76">
        <v>4024</v>
      </c>
      <c r="J170" s="75" t="s">
        <v>269</v>
      </c>
      <c r="K170" s="77">
        <v>7</v>
      </c>
      <c r="L170" s="78" t="s">
        <v>212</v>
      </c>
      <c r="M170" s="75" t="s">
        <v>392</v>
      </c>
      <c r="N170" s="82">
        <v>7042</v>
      </c>
    </row>
    <row r="171" spans="2:14" x14ac:dyDescent="0.25">
      <c r="B171" s="74" t="s">
        <v>436</v>
      </c>
      <c r="C171" s="75">
        <v>47158383</v>
      </c>
      <c r="D171" s="75" t="s">
        <v>239</v>
      </c>
      <c r="E171" s="75">
        <v>48</v>
      </c>
      <c r="F171" s="75" t="s">
        <v>255</v>
      </c>
      <c r="G171" s="75" t="s">
        <v>247</v>
      </c>
      <c r="H171" s="75">
        <v>1</v>
      </c>
      <c r="I171" s="76">
        <v>3910</v>
      </c>
      <c r="J171" s="75" t="s">
        <v>256</v>
      </c>
      <c r="K171" s="77">
        <v>7</v>
      </c>
      <c r="L171" s="78" t="s">
        <v>209</v>
      </c>
      <c r="M171" s="75" t="s">
        <v>392</v>
      </c>
      <c r="N171" s="82">
        <v>6842.5</v>
      </c>
    </row>
    <row r="172" spans="2:14" x14ac:dyDescent="0.25">
      <c r="B172" s="74" t="s">
        <v>437</v>
      </c>
      <c r="C172" s="75">
        <v>48966584</v>
      </c>
      <c r="D172" s="75" t="s">
        <v>254</v>
      </c>
      <c r="E172" s="75">
        <v>52</v>
      </c>
      <c r="F172" s="75" t="s">
        <v>255</v>
      </c>
      <c r="G172" s="75" t="s">
        <v>241</v>
      </c>
      <c r="H172" s="75">
        <v>1</v>
      </c>
      <c r="I172" s="76">
        <v>2180</v>
      </c>
      <c r="J172" s="75" t="s">
        <v>248</v>
      </c>
      <c r="K172" s="77">
        <v>7</v>
      </c>
      <c r="L172" s="78" t="s">
        <v>214</v>
      </c>
      <c r="M172" s="75" t="s">
        <v>392</v>
      </c>
      <c r="N172" s="82">
        <v>3815</v>
      </c>
    </row>
    <row r="173" spans="2:14" x14ac:dyDescent="0.25">
      <c r="B173" s="74" t="s">
        <v>438</v>
      </c>
      <c r="C173" s="75">
        <v>45986106</v>
      </c>
      <c r="D173" s="75" t="s">
        <v>239</v>
      </c>
      <c r="E173" s="75">
        <v>42</v>
      </c>
      <c r="F173" s="75" t="s">
        <v>246</v>
      </c>
      <c r="G173" s="75" t="s">
        <v>252</v>
      </c>
      <c r="H173" s="75">
        <v>3</v>
      </c>
      <c r="I173" s="76">
        <v>5962</v>
      </c>
      <c r="J173" s="75" t="s">
        <v>256</v>
      </c>
      <c r="K173" s="77">
        <v>7</v>
      </c>
      <c r="L173" s="78" t="s">
        <v>279</v>
      </c>
      <c r="M173" s="75" t="s">
        <v>392</v>
      </c>
      <c r="N173" s="82">
        <v>10433.5</v>
      </c>
    </row>
    <row r="174" spans="2:14" x14ac:dyDescent="0.25">
      <c r="B174" s="74" t="s">
        <v>439</v>
      </c>
      <c r="C174" s="75">
        <v>29330210</v>
      </c>
      <c r="D174" s="75" t="s">
        <v>239</v>
      </c>
      <c r="E174" s="75">
        <v>47</v>
      </c>
      <c r="F174" s="75" t="s">
        <v>255</v>
      </c>
      <c r="G174" s="75" t="s">
        <v>258</v>
      </c>
      <c r="H174" s="75">
        <v>2</v>
      </c>
      <c r="I174" s="76">
        <v>2595</v>
      </c>
      <c r="J174" s="75" t="s">
        <v>269</v>
      </c>
      <c r="K174" s="77">
        <v>7</v>
      </c>
      <c r="L174" s="78" t="s">
        <v>215</v>
      </c>
      <c r="M174" s="75" t="s">
        <v>392</v>
      </c>
      <c r="N174" s="82">
        <v>4541.25</v>
      </c>
    </row>
    <row r="175" spans="2:14" x14ac:dyDescent="0.25">
      <c r="B175" s="74" t="s">
        <v>440</v>
      </c>
      <c r="C175" s="75">
        <v>69406866</v>
      </c>
      <c r="D175" s="75" t="s">
        <v>254</v>
      </c>
      <c r="E175" s="75">
        <v>52</v>
      </c>
      <c r="F175" s="75" t="s">
        <v>240</v>
      </c>
      <c r="G175" s="75" t="s">
        <v>247</v>
      </c>
      <c r="H175" s="75">
        <v>2</v>
      </c>
      <c r="I175" s="76">
        <v>3873</v>
      </c>
      <c r="J175" s="75" t="s">
        <v>242</v>
      </c>
      <c r="K175" s="77">
        <v>7</v>
      </c>
      <c r="L175" s="78" t="s">
        <v>271</v>
      </c>
      <c r="M175" s="75" t="s">
        <v>392</v>
      </c>
      <c r="N175" s="82">
        <v>6777.75</v>
      </c>
    </row>
    <row r="176" spans="2:14" x14ac:dyDescent="0.25">
      <c r="B176" s="74" t="s">
        <v>441</v>
      </c>
      <c r="C176" s="75">
        <v>62648375</v>
      </c>
      <c r="D176" s="75" t="s">
        <v>239</v>
      </c>
      <c r="E176" s="75">
        <v>33</v>
      </c>
      <c r="F176" s="75" t="s">
        <v>240</v>
      </c>
      <c r="G176" s="75" t="s">
        <v>247</v>
      </c>
      <c r="H176" s="75">
        <v>1</v>
      </c>
      <c r="I176" s="76">
        <v>4187</v>
      </c>
      <c r="J176" s="75" t="s">
        <v>242</v>
      </c>
      <c r="K176" s="77">
        <v>6</v>
      </c>
      <c r="L176" s="78" t="s">
        <v>214</v>
      </c>
      <c r="M176" s="75" t="s">
        <v>392</v>
      </c>
      <c r="N176" s="82">
        <v>6280.5</v>
      </c>
    </row>
    <row r="177" spans="2:14" x14ac:dyDescent="0.25">
      <c r="B177" s="74" t="s">
        <v>442</v>
      </c>
      <c r="C177" s="75">
        <v>37715984</v>
      </c>
      <c r="D177" s="75" t="s">
        <v>239</v>
      </c>
      <c r="E177" s="75">
        <v>32</v>
      </c>
      <c r="F177" s="75" t="s">
        <v>251</v>
      </c>
      <c r="G177" s="75" t="s">
        <v>252</v>
      </c>
      <c r="H177" s="75">
        <v>1</v>
      </c>
      <c r="I177" s="76">
        <v>3922</v>
      </c>
      <c r="J177" s="75" t="s">
        <v>256</v>
      </c>
      <c r="K177" s="77">
        <v>6</v>
      </c>
      <c r="L177" s="78" t="s">
        <v>209</v>
      </c>
      <c r="M177" s="75" t="s">
        <v>392</v>
      </c>
      <c r="N177" s="82">
        <v>5883</v>
      </c>
    </row>
    <row r="178" spans="2:14" x14ac:dyDescent="0.25">
      <c r="B178" s="74" t="s">
        <v>443</v>
      </c>
      <c r="C178" s="75">
        <v>63171090</v>
      </c>
      <c r="D178" s="75" t="s">
        <v>254</v>
      </c>
      <c r="E178" s="75">
        <v>43</v>
      </c>
      <c r="F178" s="75" t="s">
        <v>251</v>
      </c>
      <c r="G178" s="75" t="s">
        <v>258</v>
      </c>
      <c r="H178" s="75">
        <v>4</v>
      </c>
      <c r="I178" s="76">
        <v>8149</v>
      </c>
      <c r="J178" s="75" t="s">
        <v>248</v>
      </c>
      <c r="K178" s="77">
        <v>6</v>
      </c>
      <c r="L178" s="78" t="s">
        <v>243</v>
      </c>
      <c r="M178" s="75" t="s">
        <v>392</v>
      </c>
      <c r="N178" s="82">
        <v>12223.5</v>
      </c>
    </row>
    <row r="179" spans="2:14" x14ac:dyDescent="0.25">
      <c r="B179" s="74" t="s">
        <v>444</v>
      </c>
      <c r="C179" s="75">
        <v>63607009</v>
      </c>
      <c r="D179" s="75" t="s">
        <v>239</v>
      </c>
      <c r="E179" s="75">
        <v>34</v>
      </c>
      <c r="F179" s="75" t="s">
        <v>240</v>
      </c>
      <c r="G179" s="75" t="s">
        <v>258</v>
      </c>
      <c r="H179" s="75">
        <v>2</v>
      </c>
      <c r="I179" s="76">
        <v>7297</v>
      </c>
      <c r="J179" s="75" t="s">
        <v>242</v>
      </c>
      <c r="K179" s="77">
        <v>6</v>
      </c>
      <c r="L179" s="78" t="s">
        <v>215</v>
      </c>
      <c r="M179" s="75" t="s">
        <v>392</v>
      </c>
      <c r="N179" s="82">
        <v>10945.5</v>
      </c>
    </row>
    <row r="180" spans="2:14" x14ac:dyDescent="0.25">
      <c r="B180" s="74" t="s">
        <v>445</v>
      </c>
      <c r="C180" s="75">
        <v>22497443</v>
      </c>
      <c r="D180" s="75" t="s">
        <v>239</v>
      </c>
      <c r="E180" s="75">
        <v>53</v>
      </c>
      <c r="F180" s="75" t="s">
        <v>246</v>
      </c>
      <c r="G180" s="75" t="s">
        <v>241</v>
      </c>
      <c r="H180" s="75">
        <v>2</v>
      </c>
      <c r="I180" s="76">
        <v>5075</v>
      </c>
      <c r="J180" s="75" t="s">
        <v>248</v>
      </c>
      <c r="K180" s="77">
        <v>6</v>
      </c>
      <c r="L180" s="78" t="s">
        <v>215</v>
      </c>
      <c r="M180" s="75" t="s">
        <v>392</v>
      </c>
      <c r="N180" s="82">
        <v>7612.5</v>
      </c>
    </row>
    <row r="181" spans="2:14" x14ac:dyDescent="0.25">
      <c r="B181" s="74" t="s">
        <v>446</v>
      </c>
      <c r="C181" s="75">
        <v>50661003</v>
      </c>
      <c r="D181" s="75" t="s">
        <v>254</v>
      </c>
      <c r="E181" s="75">
        <v>38</v>
      </c>
      <c r="F181" s="75" t="s">
        <v>246</v>
      </c>
      <c r="G181" s="75" t="s">
        <v>252</v>
      </c>
      <c r="H181" s="75">
        <v>1</v>
      </c>
      <c r="I181" s="76">
        <v>4846</v>
      </c>
      <c r="J181" s="75" t="s">
        <v>256</v>
      </c>
      <c r="K181" s="77">
        <v>6</v>
      </c>
      <c r="L181" s="78" t="s">
        <v>193</v>
      </c>
      <c r="M181" s="75" t="s">
        <v>392</v>
      </c>
      <c r="N181" s="82">
        <v>7269</v>
      </c>
    </row>
    <row r="182" spans="2:14" x14ac:dyDescent="0.25">
      <c r="B182" s="74" t="s">
        <v>447</v>
      </c>
      <c r="C182" s="75">
        <v>43194522</v>
      </c>
      <c r="D182" s="75" t="s">
        <v>239</v>
      </c>
      <c r="E182" s="75">
        <v>51</v>
      </c>
      <c r="F182" s="75" t="s">
        <v>240</v>
      </c>
      <c r="G182" s="75" t="s">
        <v>252</v>
      </c>
      <c r="H182" s="75">
        <v>1</v>
      </c>
      <c r="I182" s="76">
        <v>2809</v>
      </c>
      <c r="J182" s="75" t="s">
        <v>262</v>
      </c>
      <c r="K182" s="77">
        <v>6</v>
      </c>
      <c r="L182" s="78" t="s">
        <v>212</v>
      </c>
      <c r="M182" s="75" t="s">
        <v>392</v>
      </c>
      <c r="N182" s="82">
        <v>4213.5</v>
      </c>
    </row>
    <row r="183" spans="2:14" x14ac:dyDescent="0.25">
      <c r="B183" s="74" t="s">
        <v>448</v>
      </c>
      <c r="C183" s="75">
        <v>41420101</v>
      </c>
      <c r="D183" s="75" t="s">
        <v>239</v>
      </c>
      <c r="E183" s="75">
        <v>49</v>
      </c>
      <c r="F183" s="75" t="s">
        <v>246</v>
      </c>
      <c r="G183" s="75" t="s">
        <v>247</v>
      </c>
      <c r="H183" s="75">
        <v>2</v>
      </c>
      <c r="I183" s="76">
        <v>7171</v>
      </c>
      <c r="J183" s="75" t="s">
        <v>269</v>
      </c>
      <c r="K183" s="77">
        <v>6</v>
      </c>
      <c r="L183" s="78" t="s">
        <v>271</v>
      </c>
      <c r="M183" s="75" t="s">
        <v>392</v>
      </c>
      <c r="N183" s="82">
        <v>10756.5</v>
      </c>
    </row>
    <row r="184" spans="2:14" x14ac:dyDescent="0.25">
      <c r="B184" s="74" t="s">
        <v>449</v>
      </c>
      <c r="C184" s="75">
        <v>50389475</v>
      </c>
      <c r="D184" s="75" t="s">
        <v>254</v>
      </c>
      <c r="E184" s="75">
        <v>44</v>
      </c>
      <c r="F184" s="75" t="s">
        <v>246</v>
      </c>
      <c r="G184" s="75" t="s">
        <v>258</v>
      </c>
      <c r="H184" s="75">
        <v>4</v>
      </c>
      <c r="I184" s="76">
        <v>4196</v>
      </c>
      <c r="J184" s="75" t="s">
        <v>242</v>
      </c>
      <c r="K184" s="77">
        <v>6</v>
      </c>
      <c r="L184" s="78" t="s">
        <v>215</v>
      </c>
      <c r="M184" s="75" t="s">
        <v>392</v>
      </c>
      <c r="N184" s="82">
        <v>6294</v>
      </c>
    </row>
    <row r="185" spans="2:14" x14ac:dyDescent="0.25">
      <c r="B185" s="74" t="s">
        <v>450</v>
      </c>
      <c r="C185" s="75">
        <v>45138115</v>
      </c>
      <c r="D185" s="75" t="s">
        <v>254</v>
      </c>
      <c r="E185" s="75">
        <v>39</v>
      </c>
      <c r="F185" s="75" t="s">
        <v>255</v>
      </c>
      <c r="G185" s="75" t="s">
        <v>252</v>
      </c>
      <c r="H185" s="75">
        <v>4</v>
      </c>
      <c r="I185" s="76">
        <v>8159</v>
      </c>
      <c r="J185" s="75" t="s">
        <v>242</v>
      </c>
      <c r="K185" s="77">
        <v>6</v>
      </c>
      <c r="L185" s="78" t="s">
        <v>279</v>
      </c>
      <c r="M185" s="75" t="s">
        <v>392</v>
      </c>
      <c r="N185" s="82">
        <v>12238.5</v>
      </c>
    </row>
    <row r="186" spans="2:14" x14ac:dyDescent="0.25">
      <c r="B186" s="74" t="s">
        <v>451</v>
      </c>
      <c r="C186" s="75">
        <v>68607849</v>
      </c>
      <c r="D186" s="75" t="s">
        <v>239</v>
      </c>
      <c r="E186" s="75">
        <v>65</v>
      </c>
      <c r="F186" s="75" t="s">
        <v>240</v>
      </c>
      <c r="G186" s="75" t="s">
        <v>247</v>
      </c>
      <c r="H186" s="75">
        <v>2</v>
      </c>
      <c r="I186" s="76">
        <v>6407</v>
      </c>
      <c r="J186" s="75" t="s">
        <v>269</v>
      </c>
      <c r="K186" s="77">
        <v>6</v>
      </c>
      <c r="L186" s="78" t="s">
        <v>203</v>
      </c>
      <c r="M186" s="75" t="s">
        <v>392</v>
      </c>
      <c r="N186" s="82">
        <v>9610.5</v>
      </c>
    </row>
    <row r="187" spans="2:14" x14ac:dyDescent="0.25">
      <c r="B187" s="74" t="s">
        <v>452</v>
      </c>
      <c r="C187" s="75">
        <v>59722163</v>
      </c>
      <c r="D187" s="75" t="s">
        <v>254</v>
      </c>
      <c r="E187" s="75">
        <v>53</v>
      </c>
      <c r="F187" s="75" t="s">
        <v>246</v>
      </c>
      <c r="G187" s="75" t="s">
        <v>252</v>
      </c>
      <c r="H187" s="75">
        <v>3</v>
      </c>
      <c r="I187" s="76">
        <v>4786</v>
      </c>
      <c r="J187" s="75" t="s">
        <v>256</v>
      </c>
      <c r="K187" s="77">
        <v>5</v>
      </c>
      <c r="L187" s="78" t="s">
        <v>279</v>
      </c>
      <c r="M187" s="75" t="s">
        <v>392</v>
      </c>
      <c r="N187" s="82">
        <v>5982.5</v>
      </c>
    </row>
    <row r="188" spans="2:14" x14ac:dyDescent="0.25">
      <c r="B188" s="74" t="s">
        <v>453</v>
      </c>
      <c r="C188" s="75">
        <v>57955404</v>
      </c>
      <c r="D188" s="75" t="s">
        <v>239</v>
      </c>
      <c r="E188" s="75">
        <v>62</v>
      </c>
      <c r="F188" s="75" t="s">
        <v>240</v>
      </c>
      <c r="G188" s="75" t="s">
        <v>241</v>
      </c>
      <c r="H188" s="75">
        <v>2</v>
      </c>
      <c r="I188" s="76">
        <v>4986</v>
      </c>
      <c r="J188" s="75" t="s">
        <v>269</v>
      </c>
      <c r="K188" s="77">
        <v>5</v>
      </c>
      <c r="L188" s="78" t="s">
        <v>203</v>
      </c>
      <c r="M188" s="75" t="s">
        <v>392</v>
      </c>
      <c r="N188" s="82">
        <v>6232.5</v>
      </c>
    </row>
    <row r="189" spans="2:14" x14ac:dyDescent="0.25">
      <c r="B189" s="74" t="s">
        <v>454</v>
      </c>
      <c r="C189" s="75">
        <v>62797651</v>
      </c>
      <c r="D189" s="75" t="s">
        <v>254</v>
      </c>
      <c r="E189" s="75">
        <v>61</v>
      </c>
      <c r="F189" s="75" t="s">
        <v>255</v>
      </c>
      <c r="G189" s="75" t="s">
        <v>258</v>
      </c>
      <c r="H189" s="75">
        <v>0</v>
      </c>
      <c r="I189" s="76">
        <v>3237</v>
      </c>
      <c r="J189" s="75" t="s">
        <v>256</v>
      </c>
      <c r="K189" s="77">
        <v>5</v>
      </c>
      <c r="L189" s="78" t="s">
        <v>271</v>
      </c>
      <c r="M189" s="75" t="s">
        <v>392</v>
      </c>
      <c r="N189" s="82">
        <v>4046.25</v>
      </c>
    </row>
    <row r="190" spans="2:14" x14ac:dyDescent="0.25">
      <c r="B190" s="74" t="s">
        <v>455</v>
      </c>
      <c r="C190" s="75">
        <v>45775424</v>
      </c>
      <c r="D190" s="75" t="s">
        <v>239</v>
      </c>
      <c r="E190" s="75">
        <v>30</v>
      </c>
      <c r="F190" s="75" t="s">
        <v>255</v>
      </c>
      <c r="G190" s="75" t="s">
        <v>258</v>
      </c>
      <c r="H190" s="75">
        <v>4</v>
      </c>
      <c r="I190" s="76">
        <v>4060</v>
      </c>
      <c r="J190" s="75" t="s">
        <v>269</v>
      </c>
      <c r="K190" s="77">
        <v>5</v>
      </c>
      <c r="L190" s="78" t="s">
        <v>214</v>
      </c>
      <c r="M190" s="75" t="s">
        <v>392</v>
      </c>
      <c r="N190" s="82">
        <v>5075</v>
      </c>
    </row>
    <row r="191" spans="2:14" x14ac:dyDescent="0.25">
      <c r="B191" s="74" t="s">
        <v>456</v>
      </c>
      <c r="C191" s="75">
        <v>26903951</v>
      </c>
      <c r="D191" s="75" t="s">
        <v>239</v>
      </c>
      <c r="E191" s="75">
        <v>25</v>
      </c>
      <c r="F191" s="75" t="s">
        <v>240</v>
      </c>
      <c r="G191" s="75" t="s">
        <v>247</v>
      </c>
      <c r="H191" s="75">
        <v>3</v>
      </c>
      <c r="I191" s="76">
        <v>3642</v>
      </c>
      <c r="J191" s="75" t="s">
        <v>242</v>
      </c>
      <c r="K191" s="77">
        <v>5</v>
      </c>
      <c r="L191" s="78" t="s">
        <v>271</v>
      </c>
      <c r="M191" s="75" t="s">
        <v>392</v>
      </c>
      <c r="N191" s="82">
        <v>4552.5</v>
      </c>
    </row>
    <row r="192" spans="2:14" x14ac:dyDescent="0.25">
      <c r="B192" s="74" t="s">
        <v>457</v>
      </c>
      <c r="C192" s="75">
        <v>63564905</v>
      </c>
      <c r="D192" s="75" t="s">
        <v>239</v>
      </c>
      <c r="E192" s="75">
        <v>65</v>
      </c>
      <c r="F192" s="75" t="s">
        <v>240</v>
      </c>
      <c r="G192" s="75" t="s">
        <v>247</v>
      </c>
      <c r="H192" s="75">
        <v>1</v>
      </c>
      <c r="I192" s="76">
        <v>3894</v>
      </c>
      <c r="J192" s="75" t="s">
        <v>242</v>
      </c>
      <c r="K192" s="77">
        <v>5</v>
      </c>
      <c r="L192" s="78" t="s">
        <v>263</v>
      </c>
      <c r="M192" s="75" t="s">
        <v>392</v>
      </c>
      <c r="N192" s="82">
        <v>4867.5</v>
      </c>
    </row>
    <row r="193" spans="2:14" x14ac:dyDescent="0.25">
      <c r="B193" s="74" t="s">
        <v>458</v>
      </c>
      <c r="C193" s="75">
        <v>58963504</v>
      </c>
      <c r="D193" s="75" t="s">
        <v>254</v>
      </c>
      <c r="E193" s="75">
        <v>44</v>
      </c>
      <c r="F193" s="75" t="s">
        <v>251</v>
      </c>
      <c r="G193" s="75" t="s">
        <v>241</v>
      </c>
      <c r="H193" s="75">
        <v>2</v>
      </c>
      <c r="I193" s="76">
        <v>6843</v>
      </c>
      <c r="J193" s="75" t="s">
        <v>262</v>
      </c>
      <c r="K193" s="77">
        <v>5</v>
      </c>
      <c r="L193" s="78" t="s">
        <v>263</v>
      </c>
      <c r="M193" s="75" t="s">
        <v>392</v>
      </c>
      <c r="N193" s="82">
        <v>8553.75</v>
      </c>
    </row>
    <row r="194" spans="2:14" x14ac:dyDescent="0.25">
      <c r="B194" s="74" t="s">
        <v>459</v>
      </c>
      <c r="C194" s="75">
        <v>31145902</v>
      </c>
      <c r="D194" s="75" t="s">
        <v>239</v>
      </c>
      <c r="E194" s="75">
        <v>61</v>
      </c>
      <c r="F194" s="75" t="s">
        <v>240</v>
      </c>
      <c r="G194" s="75" t="s">
        <v>252</v>
      </c>
      <c r="H194" s="75">
        <v>4</v>
      </c>
      <c r="I194" s="76">
        <v>6802</v>
      </c>
      <c r="J194" s="75" t="s">
        <v>256</v>
      </c>
      <c r="K194" s="77">
        <v>5</v>
      </c>
      <c r="L194" s="78" t="s">
        <v>210</v>
      </c>
      <c r="M194" s="75" t="s">
        <v>392</v>
      </c>
      <c r="N194" s="82">
        <v>8502.5</v>
      </c>
    </row>
    <row r="195" spans="2:14" x14ac:dyDescent="0.25">
      <c r="B195" s="74" t="s">
        <v>460</v>
      </c>
      <c r="C195" s="75">
        <v>67033615</v>
      </c>
      <c r="D195" s="75" t="s">
        <v>254</v>
      </c>
      <c r="E195" s="75">
        <v>31</v>
      </c>
      <c r="F195" s="75" t="s">
        <v>255</v>
      </c>
      <c r="G195" s="75" t="s">
        <v>247</v>
      </c>
      <c r="H195" s="75">
        <v>1</v>
      </c>
      <c r="I195" s="76">
        <v>4172</v>
      </c>
      <c r="J195" s="75" t="s">
        <v>269</v>
      </c>
      <c r="K195" s="77">
        <v>5</v>
      </c>
      <c r="L195" s="78" t="s">
        <v>243</v>
      </c>
      <c r="M195" s="75" t="s">
        <v>392</v>
      </c>
      <c r="N195" s="82">
        <v>5215</v>
      </c>
    </row>
    <row r="196" spans="2:14" x14ac:dyDescent="0.25">
      <c r="B196" s="74" t="s">
        <v>461</v>
      </c>
      <c r="C196" s="75">
        <v>40411698</v>
      </c>
      <c r="D196" s="75" t="s">
        <v>254</v>
      </c>
      <c r="E196" s="75">
        <v>48</v>
      </c>
      <c r="F196" s="75" t="s">
        <v>251</v>
      </c>
      <c r="G196" s="75" t="s">
        <v>252</v>
      </c>
      <c r="H196" s="75">
        <v>2</v>
      </c>
      <c r="I196" s="76">
        <v>8651</v>
      </c>
      <c r="J196" s="75" t="s">
        <v>248</v>
      </c>
      <c r="K196" s="77">
        <v>5</v>
      </c>
      <c r="L196" s="78" t="s">
        <v>215</v>
      </c>
      <c r="M196" s="75" t="s">
        <v>392</v>
      </c>
      <c r="N196" s="82">
        <v>10813.75</v>
      </c>
    </row>
    <row r="197" spans="2:14" x14ac:dyDescent="0.25">
      <c r="B197" s="74" t="s">
        <v>462</v>
      </c>
      <c r="C197" s="75">
        <v>48274200</v>
      </c>
      <c r="D197" s="75" t="s">
        <v>254</v>
      </c>
      <c r="E197" s="75">
        <v>23</v>
      </c>
      <c r="F197" s="75" t="s">
        <v>246</v>
      </c>
      <c r="G197" s="75" t="s">
        <v>247</v>
      </c>
      <c r="H197" s="75">
        <v>1</v>
      </c>
      <c r="I197" s="76">
        <v>5916</v>
      </c>
      <c r="J197" s="75" t="s">
        <v>269</v>
      </c>
      <c r="K197" s="77">
        <v>4</v>
      </c>
      <c r="L197" s="78" t="s">
        <v>193</v>
      </c>
      <c r="M197" s="75" t="s">
        <v>392</v>
      </c>
      <c r="N197" s="82">
        <v>5916</v>
      </c>
    </row>
    <row r="198" spans="2:14" x14ac:dyDescent="0.25">
      <c r="B198" s="74" t="s">
        <v>463</v>
      </c>
      <c r="C198" s="75">
        <v>53323306</v>
      </c>
      <c r="D198" s="75" t="s">
        <v>239</v>
      </c>
      <c r="E198" s="75">
        <v>57</v>
      </c>
      <c r="F198" s="75" t="s">
        <v>240</v>
      </c>
      <c r="G198" s="75" t="s">
        <v>252</v>
      </c>
      <c r="H198" s="75">
        <v>1</v>
      </c>
      <c r="I198" s="76">
        <v>2307</v>
      </c>
      <c r="J198" s="75" t="s">
        <v>262</v>
      </c>
      <c r="K198" s="77">
        <v>4</v>
      </c>
      <c r="L198" s="78" t="s">
        <v>214</v>
      </c>
      <c r="M198" s="75" t="s">
        <v>392</v>
      </c>
      <c r="N198" s="82">
        <v>2307</v>
      </c>
    </row>
    <row r="199" spans="2:14" x14ac:dyDescent="0.25">
      <c r="B199" s="74" t="s">
        <v>464</v>
      </c>
      <c r="C199" s="75">
        <v>70222655</v>
      </c>
      <c r="D199" s="75" t="s">
        <v>239</v>
      </c>
      <c r="E199" s="75">
        <v>46</v>
      </c>
      <c r="F199" s="75" t="s">
        <v>255</v>
      </c>
      <c r="G199" s="75" t="s">
        <v>252</v>
      </c>
      <c r="H199" s="75">
        <v>0</v>
      </c>
      <c r="I199" s="76">
        <v>5454</v>
      </c>
      <c r="J199" s="75" t="s">
        <v>256</v>
      </c>
      <c r="K199" s="77">
        <v>4</v>
      </c>
      <c r="L199" s="78" t="s">
        <v>209</v>
      </c>
      <c r="M199" s="75" t="s">
        <v>392</v>
      </c>
      <c r="N199" s="82">
        <v>5454</v>
      </c>
    </row>
    <row r="200" spans="2:14" x14ac:dyDescent="0.25">
      <c r="B200" s="74" t="s">
        <v>465</v>
      </c>
      <c r="C200" s="75">
        <v>52594714</v>
      </c>
      <c r="D200" s="75" t="s">
        <v>254</v>
      </c>
      <c r="E200" s="75">
        <v>37</v>
      </c>
      <c r="F200" s="75" t="s">
        <v>251</v>
      </c>
      <c r="G200" s="75" t="s">
        <v>258</v>
      </c>
      <c r="H200" s="75">
        <v>4</v>
      </c>
      <c r="I200" s="76">
        <v>6452</v>
      </c>
      <c r="J200" s="75" t="s">
        <v>262</v>
      </c>
      <c r="K200" s="77">
        <v>4</v>
      </c>
      <c r="L200" s="78" t="s">
        <v>209</v>
      </c>
      <c r="M200" s="75" t="s">
        <v>392</v>
      </c>
      <c r="N200" s="82">
        <v>6452</v>
      </c>
    </row>
    <row r="201" spans="2:14" x14ac:dyDescent="0.25">
      <c r="B201" s="74" t="s">
        <v>466</v>
      </c>
      <c r="C201" s="75">
        <v>67164019</v>
      </c>
      <c r="D201" s="75" t="s">
        <v>254</v>
      </c>
      <c r="E201" s="75">
        <v>42</v>
      </c>
      <c r="F201" s="75" t="s">
        <v>246</v>
      </c>
      <c r="G201" s="75" t="s">
        <v>258</v>
      </c>
      <c r="H201" s="75">
        <v>1</v>
      </c>
      <c r="I201" s="76">
        <v>9023</v>
      </c>
      <c r="J201" s="75" t="s">
        <v>248</v>
      </c>
      <c r="K201" s="77">
        <v>4</v>
      </c>
      <c r="L201" s="78" t="s">
        <v>263</v>
      </c>
      <c r="M201" s="75" t="s">
        <v>392</v>
      </c>
      <c r="N201" s="82">
        <v>9023</v>
      </c>
    </row>
    <row r="202" spans="2:14" x14ac:dyDescent="0.25">
      <c r="B202" s="74" t="s">
        <v>467</v>
      </c>
      <c r="C202" s="75">
        <v>57240437</v>
      </c>
      <c r="D202" s="75" t="s">
        <v>254</v>
      </c>
      <c r="E202" s="75">
        <v>19</v>
      </c>
      <c r="F202" s="75" t="s">
        <v>251</v>
      </c>
      <c r="G202" s="75" t="s">
        <v>258</v>
      </c>
      <c r="H202" s="75">
        <v>1</v>
      </c>
      <c r="I202" s="76">
        <v>2829</v>
      </c>
      <c r="J202" s="75" t="s">
        <v>262</v>
      </c>
      <c r="K202" s="77">
        <v>4</v>
      </c>
      <c r="L202" s="78" t="s">
        <v>243</v>
      </c>
      <c r="M202" s="75" t="s">
        <v>392</v>
      </c>
      <c r="N202" s="82">
        <v>2829</v>
      </c>
    </row>
    <row r="203" spans="2:14" x14ac:dyDescent="0.25">
      <c r="B203" s="74" t="s">
        <v>468</v>
      </c>
      <c r="C203" s="75">
        <v>53700039</v>
      </c>
      <c r="D203" s="75" t="s">
        <v>254</v>
      </c>
      <c r="E203" s="75">
        <v>24</v>
      </c>
      <c r="F203" s="75" t="s">
        <v>246</v>
      </c>
      <c r="G203" s="75" t="s">
        <v>247</v>
      </c>
      <c r="H203" s="75">
        <v>4</v>
      </c>
      <c r="I203" s="76">
        <v>7115</v>
      </c>
      <c r="J203" s="75" t="s">
        <v>242</v>
      </c>
      <c r="K203" s="77">
        <v>4</v>
      </c>
      <c r="L203" s="78" t="s">
        <v>210</v>
      </c>
      <c r="M203" s="75" t="s">
        <v>392</v>
      </c>
      <c r="N203" s="82">
        <v>7115.0000000000009</v>
      </c>
    </row>
    <row r="204" spans="2:14" x14ac:dyDescent="0.25">
      <c r="B204" s="74" t="s">
        <v>469</v>
      </c>
      <c r="C204" s="75">
        <v>38601962</v>
      </c>
      <c r="D204" s="75" t="s">
        <v>239</v>
      </c>
      <c r="E204" s="75">
        <v>19</v>
      </c>
      <c r="F204" s="75" t="s">
        <v>255</v>
      </c>
      <c r="G204" s="75" t="s">
        <v>247</v>
      </c>
      <c r="H204" s="75">
        <v>0</v>
      </c>
      <c r="I204" s="76">
        <v>8968</v>
      </c>
      <c r="J204" s="75" t="s">
        <v>262</v>
      </c>
      <c r="K204" s="77">
        <v>4</v>
      </c>
      <c r="L204" s="78" t="s">
        <v>213</v>
      </c>
      <c r="M204" s="75" t="s">
        <v>392</v>
      </c>
      <c r="N204" s="82">
        <v>8968</v>
      </c>
    </row>
    <row r="205" spans="2:14" x14ac:dyDescent="0.25">
      <c r="B205" s="74" t="s">
        <v>470</v>
      </c>
      <c r="C205" s="75">
        <v>68284452</v>
      </c>
      <c r="D205" s="75" t="s">
        <v>239</v>
      </c>
      <c r="E205" s="75">
        <v>26</v>
      </c>
      <c r="F205" s="75" t="s">
        <v>240</v>
      </c>
      <c r="G205" s="75" t="s">
        <v>247</v>
      </c>
      <c r="H205" s="75">
        <v>1</v>
      </c>
      <c r="I205" s="76">
        <v>8171</v>
      </c>
      <c r="J205" s="75" t="s">
        <v>269</v>
      </c>
      <c r="K205" s="77">
        <v>4</v>
      </c>
      <c r="L205" s="78" t="s">
        <v>279</v>
      </c>
      <c r="M205" s="75" t="s">
        <v>392</v>
      </c>
      <c r="N205" s="82">
        <v>8170.9999999999991</v>
      </c>
    </row>
    <row r="206" spans="2:14" x14ac:dyDescent="0.25">
      <c r="B206" s="74" t="s">
        <v>471</v>
      </c>
      <c r="C206" s="75">
        <v>33672136</v>
      </c>
      <c r="D206" s="75" t="s">
        <v>239</v>
      </c>
      <c r="E206" s="75">
        <v>45</v>
      </c>
      <c r="F206" s="75" t="s">
        <v>240</v>
      </c>
      <c r="G206" s="75" t="s">
        <v>247</v>
      </c>
      <c r="H206" s="75">
        <v>4</v>
      </c>
      <c r="I206" s="76">
        <v>4186</v>
      </c>
      <c r="J206" s="75" t="s">
        <v>242</v>
      </c>
      <c r="K206" s="77">
        <v>4</v>
      </c>
      <c r="L206" s="78" t="s">
        <v>263</v>
      </c>
      <c r="M206" s="75" t="s">
        <v>392</v>
      </c>
      <c r="N206" s="82">
        <v>4186</v>
      </c>
    </row>
    <row r="207" spans="2:14" x14ac:dyDescent="0.25">
      <c r="B207" s="74" t="s">
        <v>472</v>
      </c>
      <c r="C207" s="75">
        <v>31338361</v>
      </c>
      <c r="D207" s="75" t="s">
        <v>254</v>
      </c>
      <c r="E207" s="75">
        <v>19</v>
      </c>
      <c r="F207" s="75" t="s">
        <v>251</v>
      </c>
      <c r="G207" s="75" t="s">
        <v>241</v>
      </c>
      <c r="H207" s="75">
        <v>1</v>
      </c>
      <c r="I207" s="76">
        <v>5608</v>
      </c>
      <c r="J207" s="75" t="s">
        <v>242</v>
      </c>
      <c r="K207" s="77">
        <v>4</v>
      </c>
      <c r="L207" s="78" t="s">
        <v>215</v>
      </c>
      <c r="M207" s="75" t="s">
        <v>392</v>
      </c>
      <c r="N207" s="82">
        <v>5608</v>
      </c>
    </row>
    <row r="208" spans="2:14" x14ac:dyDescent="0.25">
      <c r="B208" s="74" t="s">
        <v>473</v>
      </c>
      <c r="C208" s="75">
        <v>54162630</v>
      </c>
      <c r="D208" s="75" t="s">
        <v>254</v>
      </c>
      <c r="E208" s="75">
        <v>53</v>
      </c>
      <c r="F208" s="75" t="s">
        <v>246</v>
      </c>
      <c r="G208" s="75" t="s">
        <v>241</v>
      </c>
      <c r="H208" s="75">
        <v>2</v>
      </c>
      <c r="I208" s="76">
        <v>9565</v>
      </c>
      <c r="J208" s="75" t="s">
        <v>248</v>
      </c>
      <c r="K208" s="77">
        <v>4</v>
      </c>
      <c r="L208" s="78" t="s">
        <v>214</v>
      </c>
      <c r="M208" s="75" t="s">
        <v>392</v>
      </c>
      <c r="N208" s="82">
        <v>9565</v>
      </c>
    </row>
    <row r="209" spans="2:14" x14ac:dyDescent="0.25">
      <c r="B209" s="74" t="s">
        <v>474</v>
      </c>
      <c r="C209" s="75">
        <v>33583848</v>
      </c>
      <c r="D209" s="75" t="s">
        <v>239</v>
      </c>
      <c r="E209" s="75">
        <v>45</v>
      </c>
      <c r="F209" s="75" t="s">
        <v>246</v>
      </c>
      <c r="G209" s="75" t="s">
        <v>258</v>
      </c>
      <c r="H209" s="75">
        <v>0</v>
      </c>
      <c r="I209" s="76">
        <v>7867</v>
      </c>
      <c r="J209" s="75" t="s">
        <v>248</v>
      </c>
      <c r="K209" s="77">
        <v>3</v>
      </c>
      <c r="L209" s="78" t="s">
        <v>263</v>
      </c>
      <c r="M209" s="75" t="s">
        <v>392</v>
      </c>
      <c r="N209" s="82">
        <v>5900.25</v>
      </c>
    </row>
    <row r="210" spans="2:14" x14ac:dyDescent="0.25">
      <c r="B210" s="74" t="s">
        <v>475</v>
      </c>
      <c r="C210" s="75">
        <v>66729502</v>
      </c>
      <c r="D210" s="75" t="s">
        <v>254</v>
      </c>
      <c r="E210" s="75">
        <v>30</v>
      </c>
      <c r="F210" s="75" t="s">
        <v>240</v>
      </c>
      <c r="G210" s="75" t="s">
        <v>258</v>
      </c>
      <c r="H210" s="75">
        <v>2</v>
      </c>
      <c r="I210" s="76">
        <v>9785</v>
      </c>
      <c r="J210" s="75" t="s">
        <v>262</v>
      </c>
      <c r="K210" s="77">
        <v>3</v>
      </c>
      <c r="L210" s="78" t="s">
        <v>212</v>
      </c>
      <c r="M210" s="75" t="s">
        <v>392</v>
      </c>
      <c r="N210" s="82">
        <v>7338.75</v>
      </c>
    </row>
    <row r="211" spans="2:14" x14ac:dyDescent="0.25">
      <c r="B211" s="74" t="s">
        <v>476</v>
      </c>
      <c r="C211" s="75">
        <v>26270393</v>
      </c>
      <c r="D211" s="75" t="s">
        <v>239</v>
      </c>
      <c r="E211" s="75">
        <v>44</v>
      </c>
      <c r="F211" s="75" t="s">
        <v>255</v>
      </c>
      <c r="G211" s="75" t="s">
        <v>258</v>
      </c>
      <c r="H211" s="75">
        <v>1</v>
      </c>
      <c r="I211" s="76">
        <v>6111</v>
      </c>
      <c r="J211" s="75" t="s">
        <v>256</v>
      </c>
      <c r="K211" s="77">
        <v>3</v>
      </c>
      <c r="L211" s="78" t="s">
        <v>203</v>
      </c>
      <c r="M211" s="75" t="s">
        <v>392</v>
      </c>
      <c r="N211" s="82">
        <v>4583.25</v>
      </c>
    </row>
    <row r="212" spans="2:14" x14ac:dyDescent="0.25">
      <c r="B212" s="74" t="s">
        <v>477</v>
      </c>
      <c r="C212" s="75">
        <v>25507238</v>
      </c>
      <c r="D212" s="75" t="s">
        <v>254</v>
      </c>
      <c r="E212" s="75">
        <v>24</v>
      </c>
      <c r="F212" s="75" t="s">
        <v>255</v>
      </c>
      <c r="G212" s="75" t="s">
        <v>258</v>
      </c>
      <c r="H212" s="75">
        <v>1</v>
      </c>
      <c r="I212" s="76">
        <v>8520</v>
      </c>
      <c r="J212" s="75" t="s">
        <v>269</v>
      </c>
      <c r="K212" s="77">
        <v>3</v>
      </c>
      <c r="L212" s="78" t="s">
        <v>193</v>
      </c>
      <c r="M212" s="75" t="s">
        <v>392</v>
      </c>
      <c r="N212" s="82">
        <v>6390</v>
      </c>
    </row>
    <row r="213" spans="2:14" x14ac:dyDescent="0.25">
      <c r="B213" s="74" t="s">
        <v>478</v>
      </c>
      <c r="C213" s="75">
        <v>37961897</v>
      </c>
      <c r="D213" s="75" t="s">
        <v>239</v>
      </c>
      <c r="E213" s="75">
        <v>19</v>
      </c>
      <c r="F213" s="75" t="s">
        <v>251</v>
      </c>
      <c r="G213" s="75" t="s">
        <v>258</v>
      </c>
      <c r="H213" s="75">
        <v>0</v>
      </c>
      <c r="I213" s="76">
        <v>3186</v>
      </c>
      <c r="J213" s="75" t="s">
        <v>262</v>
      </c>
      <c r="K213" s="77">
        <v>3</v>
      </c>
      <c r="L213" s="78" t="s">
        <v>193</v>
      </c>
      <c r="M213" s="75" t="s">
        <v>392</v>
      </c>
      <c r="N213" s="82">
        <v>2389.5</v>
      </c>
    </row>
    <row r="214" spans="2:14" x14ac:dyDescent="0.25">
      <c r="B214" s="74" t="s">
        <v>479</v>
      </c>
      <c r="C214" s="75">
        <v>33643704</v>
      </c>
      <c r="D214" s="75" t="s">
        <v>239</v>
      </c>
      <c r="E214" s="75">
        <v>61</v>
      </c>
      <c r="F214" s="75" t="s">
        <v>246</v>
      </c>
      <c r="G214" s="75" t="s">
        <v>258</v>
      </c>
      <c r="H214" s="75">
        <v>0</v>
      </c>
      <c r="I214" s="76">
        <v>2930</v>
      </c>
      <c r="J214" s="75" t="s">
        <v>242</v>
      </c>
      <c r="K214" s="77">
        <v>3</v>
      </c>
      <c r="L214" s="78" t="s">
        <v>271</v>
      </c>
      <c r="M214" s="75" t="s">
        <v>392</v>
      </c>
      <c r="N214" s="82">
        <v>2197.5</v>
      </c>
    </row>
    <row r="215" spans="2:14" x14ac:dyDescent="0.25">
      <c r="B215" s="74" t="s">
        <v>480</v>
      </c>
      <c r="C215" s="75">
        <v>68178196</v>
      </c>
      <c r="D215" s="75" t="s">
        <v>254</v>
      </c>
      <c r="E215" s="75">
        <v>33</v>
      </c>
      <c r="F215" s="75" t="s">
        <v>246</v>
      </c>
      <c r="G215" s="75" t="s">
        <v>247</v>
      </c>
      <c r="H215" s="75">
        <v>2</v>
      </c>
      <c r="I215" s="76">
        <v>3776</v>
      </c>
      <c r="J215" s="75" t="s">
        <v>256</v>
      </c>
      <c r="K215" s="77">
        <v>3</v>
      </c>
      <c r="L215" s="78" t="s">
        <v>193</v>
      </c>
      <c r="M215" s="75" t="s">
        <v>392</v>
      </c>
      <c r="N215" s="82">
        <v>2832</v>
      </c>
    </row>
    <row r="216" spans="2:14" x14ac:dyDescent="0.25">
      <c r="B216" s="74" t="s">
        <v>481</v>
      </c>
      <c r="C216" s="75">
        <v>22161724</v>
      </c>
      <c r="D216" s="75" t="s">
        <v>239</v>
      </c>
      <c r="E216" s="75">
        <v>37</v>
      </c>
      <c r="F216" s="75" t="s">
        <v>240</v>
      </c>
      <c r="G216" s="75" t="s">
        <v>252</v>
      </c>
      <c r="H216" s="75">
        <v>2</v>
      </c>
      <c r="I216" s="76">
        <v>5306</v>
      </c>
      <c r="J216" s="75" t="s">
        <v>269</v>
      </c>
      <c r="K216" s="77">
        <v>3</v>
      </c>
      <c r="L216" s="78" t="s">
        <v>209</v>
      </c>
      <c r="M216" s="75" t="s">
        <v>392</v>
      </c>
      <c r="N216" s="82">
        <v>3979.5</v>
      </c>
    </row>
    <row r="217" spans="2:14" x14ac:dyDescent="0.25">
      <c r="B217" s="74" t="s">
        <v>482</v>
      </c>
      <c r="C217" s="75">
        <v>41109744</v>
      </c>
      <c r="D217" s="75" t="s">
        <v>239</v>
      </c>
      <c r="E217" s="75">
        <v>37</v>
      </c>
      <c r="F217" s="75" t="s">
        <v>251</v>
      </c>
      <c r="G217" s="75" t="s">
        <v>247</v>
      </c>
      <c r="H217" s="75">
        <v>4</v>
      </c>
      <c r="I217" s="76">
        <v>2887</v>
      </c>
      <c r="J217" s="75" t="s">
        <v>256</v>
      </c>
      <c r="K217" s="77">
        <v>3</v>
      </c>
      <c r="L217" s="78" t="s">
        <v>209</v>
      </c>
      <c r="M217" s="75" t="s">
        <v>392</v>
      </c>
      <c r="N217" s="82">
        <v>2165.25</v>
      </c>
    </row>
    <row r="218" spans="2:14" x14ac:dyDescent="0.25">
      <c r="B218" s="74" t="s">
        <v>483</v>
      </c>
      <c r="C218" s="75">
        <v>41065611</v>
      </c>
      <c r="D218" s="75" t="s">
        <v>239</v>
      </c>
      <c r="E218" s="75">
        <v>23</v>
      </c>
      <c r="F218" s="75" t="s">
        <v>255</v>
      </c>
      <c r="G218" s="75" t="s">
        <v>247</v>
      </c>
      <c r="H218" s="75">
        <v>3</v>
      </c>
      <c r="I218" s="76">
        <v>6378</v>
      </c>
      <c r="J218" s="75" t="s">
        <v>256</v>
      </c>
      <c r="K218" s="77">
        <v>3</v>
      </c>
      <c r="L218" s="78" t="s">
        <v>213</v>
      </c>
      <c r="M218" s="75" t="s">
        <v>392</v>
      </c>
      <c r="N218" s="82">
        <v>4783.5</v>
      </c>
    </row>
    <row r="219" spans="2:14" x14ac:dyDescent="0.25">
      <c r="B219" s="74" t="s">
        <v>484</v>
      </c>
      <c r="C219" s="75">
        <v>56107136</v>
      </c>
      <c r="D219" s="75" t="s">
        <v>254</v>
      </c>
      <c r="E219" s="75">
        <v>34</v>
      </c>
      <c r="F219" s="75" t="s">
        <v>240</v>
      </c>
      <c r="G219" s="75" t="s">
        <v>258</v>
      </c>
      <c r="H219" s="75">
        <v>2</v>
      </c>
      <c r="I219" s="76">
        <v>4535</v>
      </c>
      <c r="J219" s="75" t="s">
        <v>248</v>
      </c>
      <c r="K219" s="77">
        <v>3</v>
      </c>
      <c r="L219" s="78" t="s">
        <v>212</v>
      </c>
      <c r="M219" s="75" t="s">
        <v>392</v>
      </c>
      <c r="N219" s="82">
        <v>3401.2500000000005</v>
      </c>
    </row>
    <row r="220" spans="2:14" x14ac:dyDescent="0.25">
      <c r="B220" s="74" t="s">
        <v>485</v>
      </c>
      <c r="C220" s="75">
        <v>61501917</v>
      </c>
      <c r="D220" s="75" t="s">
        <v>254</v>
      </c>
      <c r="E220" s="75">
        <v>62</v>
      </c>
      <c r="F220" s="75" t="s">
        <v>251</v>
      </c>
      <c r="G220" s="75" t="s">
        <v>252</v>
      </c>
      <c r="H220" s="75">
        <v>0</v>
      </c>
      <c r="I220" s="76">
        <v>3119</v>
      </c>
      <c r="J220" s="75" t="s">
        <v>242</v>
      </c>
      <c r="K220" s="77">
        <v>3</v>
      </c>
      <c r="L220" s="78" t="s">
        <v>214</v>
      </c>
      <c r="M220" s="75" t="s">
        <v>392</v>
      </c>
      <c r="N220" s="82">
        <v>2339.25</v>
      </c>
    </row>
    <row r="221" spans="2:14" x14ac:dyDescent="0.25">
      <c r="B221" s="74" t="s">
        <v>486</v>
      </c>
      <c r="C221" s="75">
        <v>43898557</v>
      </c>
      <c r="D221" s="75" t="s">
        <v>239</v>
      </c>
      <c r="E221" s="75">
        <v>25</v>
      </c>
      <c r="F221" s="75" t="s">
        <v>255</v>
      </c>
      <c r="G221" s="75" t="s">
        <v>241</v>
      </c>
      <c r="H221" s="75">
        <v>0</v>
      </c>
      <c r="I221" s="76">
        <v>9158</v>
      </c>
      <c r="J221" s="75" t="s">
        <v>269</v>
      </c>
      <c r="K221" s="77">
        <v>3</v>
      </c>
      <c r="L221" s="78" t="s">
        <v>212</v>
      </c>
      <c r="M221" s="75" t="s">
        <v>392</v>
      </c>
      <c r="N221" s="82">
        <v>6868.5</v>
      </c>
    </row>
    <row r="222" spans="2:14" x14ac:dyDescent="0.25">
      <c r="B222" s="74" t="s">
        <v>487</v>
      </c>
      <c r="C222" s="75">
        <v>67564238</v>
      </c>
      <c r="D222" s="75" t="s">
        <v>239</v>
      </c>
      <c r="E222" s="75">
        <v>46</v>
      </c>
      <c r="F222" s="75" t="s">
        <v>251</v>
      </c>
      <c r="G222" s="75" t="s">
        <v>241</v>
      </c>
      <c r="H222" s="75">
        <v>1</v>
      </c>
      <c r="I222" s="76">
        <v>3164</v>
      </c>
      <c r="J222" s="75" t="s">
        <v>269</v>
      </c>
      <c r="K222" s="77">
        <v>3</v>
      </c>
      <c r="L222" s="78" t="s">
        <v>212</v>
      </c>
      <c r="M222" s="75" t="s">
        <v>392</v>
      </c>
      <c r="N222" s="82">
        <v>2373</v>
      </c>
    </row>
    <row r="223" spans="2:14" x14ac:dyDescent="0.25">
      <c r="B223" s="74" t="s">
        <v>488</v>
      </c>
      <c r="C223" s="75">
        <v>40782333</v>
      </c>
      <c r="D223" s="75" t="s">
        <v>254</v>
      </c>
      <c r="E223" s="75">
        <v>44</v>
      </c>
      <c r="F223" s="75" t="s">
        <v>251</v>
      </c>
      <c r="G223" s="75" t="s">
        <v>241</v>
      </c>
      <c r="H223" s="75">
        <v>1</v>
      </c>
      <c r="I223" s="76">
        <v>6750</v>
      </c>
      <c r="J223" s="75" t="s">
        <v>269</v>
      </c>
      <c r="K223" s="77">
        <v>3</v>
      </c>
      <c r="L223" s="78" t="s">
        <v>213</v>
      </c>
      <c r="M223" s="75" t="s">
        <v>392</v>
      </c>
      <c r="N223" s="82">
        <v>5062.5</v>
      </c>
    </row>
    <row r="224" spans="2:14" x14ac:dyDescent="0.25">
      <c r="B224" s="74" t="s">
        <v>489</v>
      </c>
      <c r="C224" s="75">
        <v>25520205</v>
      </c>
      <c r="D224" s="75" t="s">
        <v>254</v>
      </c>
      <c r="E224" s="75">
        <v>64</v>
      </c>
      <c r="F224" s="75" t="s">
        <v>251</v>
      </c>
      <c r="G224" s="75" t="s">
        <v>241</v>
      </c>
      <c r="H224" s="75">
        <v>4</v>
      </c>
      <c r="I224" s="76">
        <v>5452</v>
      </c>
      <c r="J224" s="75" t="s">
        <v>256</v>
      </c>
      <c r="K224" s="77">
        <v>3</v>
      </c>
      <c r="L224" s="78" t="s">
        <v>203</v>
      </c>
      <c r="M224" s="75" t="s">
        <v>392</v>
      </c>
      <c r="N224" s="82">
        <v>4089</v>
      </c>
    </row>
    <row r="225" spans="2:14" x14ac:dyDescent="0.25">
      <c r="B225" s="74" t="s">
        <v>490</v>
      </c>
      <c r="C225" s="75">
        <v>27870701</v>
      </c>
      <c r="D225" s="75" t="s">
        <v>239</v>
      </c>
      <c r="E225" s="75">
        <v>46</v>
      </c>
      <c r="F225" s="75" t="s">
        <v>255</v>
      </c>
      <c r="G225" s="75" t="s">
        <v>247</v>
      </c>
      <c r="H225" s="75">
        <v>2</v>
      </c>
      <c r="I225" s="76">
        <v>7832</v>
      </c>
      <c r="J225" s="75" t="s">
        <v>262</v>
      </c>
      <c r="K225" s="77">
        <v>2</v>
      </c>
      <c r="L225" s="78" t="s">
        <v>213</v>
      </c>
      <c r="M225" s="75" t="s">
        <v>392</v>
      </c>
      <c r="N225" s="82">
        <v>3915.9999999999995</v>
      </c>
    </row>
    <row r="226" spans="2:14" x14ac:dyDescent="0.25">
      <c r="B226" s="74" t="s">
        <v>491</v>
      </c>
      <c r="C226" s="75">
        <v>32612961</v>
      </c>
      <c r="D226" s="75" t="s">
        <v>239</v>
      </c>
      <c r="E226" s="75">
        <v>29</v>
      </c>
      <c r="F226" s="75" t="s">
        <v>251</v>
      </c>
      <c r="G226" s="75" t="s">
        <v>241</v>
      </c>
      <c r="H226" s="75">
        <v>2</v>
      </c>
      <c r="I226" s="76">
        <v>9388</v>
      </c>
      <c r="J226" s="75" t="s">
        <v>256</v>
      </c>
      <c r="K226" s="77">
        <v>2</v>
      </c>
      <c r="L226" s="78" t="s">
        <v>214</v>
      </c>
      <c r="M226" s="75" t="s">
        <v>392</v>
      </c>
      <c r="N226" s="82">
        <v>4694</v>
      </c>
    </row>
    <row r="227" spans="2:14" x14ac:dyDescent="0.25">
      <c r="B227" s="74" t="s">
        <v>492</v>
      </c>
      <c r="C227" s="75">
        <v>37739474</v>
      </c>
      <c r="D227" s="75" t="s">
        <v>239</v>
      </c>
      <c r="E227" s="75">
        <v>61</v>
      </c>
      <c r="F227" s="75" t="s">
        <v>246</v>
      </c>
      <c r="G227" s="75" t="s">
        <v>247</v>
      </c>
      <c r="H227" s="75">
        <v>4</v>
      </c>
      <c r="I227" s="76">
        <v>5130</v>
      </c>
      <c r="J227" s="75" t="s">
        <v>269</v>
      </c>
      <c r="K227" s="77">
        <v>2</v>
      </c>
      <c r="L227" s="78" t="s">
        <v>203</v>
      </c>
      <c r="M227" s="75" t="s">
        <v>392</v>
      </c>
      <c r="N227" s="82">
        <v>2565</v>
      </c>
    </row>
    <row r="228" spans="2:14" x14ac:dyDescent="0.25">
      <c r="B228" s="74" t="s">
        <v>493</v>
      </c>
      <c r="C228" s="75">
        <v>43012797</v>
      </c>
      <c r="D228" s="75" t="s">
        <v>239</v>
      </c>
      <c r="E228" s="75">
        <v>57</v>
      </c>
      <c r="F228" s="75" t="s">
        <v>251</v>
      </c>
      <c r="G228" s="75" t="s">
        <v>252</v>
      </c>
      <c r="H228" s="75">
        <v>4</v>
      </c>
      <c r="I228" s="76">
        <v>3598</v>
      </c>
      <c r="J228" s="75" t="s">
        <v>242</v>
      </c>
      <c r="K228" s="77">
        <v>2</v>
      </c>
      <c r="L228" s="78" t="s">
        <v>215</v>
      </c>
      <c r="M228" s="75" t="s">
        <v>392</v>
      </c>
      <c r="N228" s="82">
        <v>1798.9999999999998</v>
      </c>
    </row>
    <row r="229" spans="2:14" x14ac:dyDescent="0.25">
      <c r="B229" s="74" t="s">
        <v>494</v>
      </c>
      <c r="C229" s="75">
        <v>54215383</v>
      </c>
      <c r="D229" s="75" t="s">
        <v>254</v>
      </c>
      <c r="E229" s="75">
        <v>64</v>
      </c>
      <c r="F229" s="75" t="s">
        <v>255</v>
      </c>
      <c r="G229" s="75" t="s">
        <v>258</v>
      </c>
      <c r="H229" s="75">
        <v>1</v>
      </c>
      <c r="I229" s="76">
        <v>4448</v>
      </c>
      <c r="J229" s="75" t="s">
        <v>248</v>
      </c>
      <c r="K229" s="77">
        <v>2</v>
      </c>
      <c r="L229" s="78" t="s">
        <v>210</v>
      </c>
      <c r="M229" s="75" t="s">
        <v>392</v>
      </c>
      <c r="N229" s="82">
        <v>2224</v>
      </c>
    </row>
    <row r="230" spans="2:14" x14ac:dyDescent="0.25">
      <c r="B230" s="74" t="s">
        <v>495</v>
      </c>
      <c r="C230" s="75">
        <v>57558329</v>
      </c>
      <c r="D230" s="75" t="s">
        <v>239</v>
      </c>
      <c r="E230" s="75">
        <v>56</v>
      </c>
      <c r="F230" s="75" t="s">
        <v>240</v>
      </c>
      <c r="G230" s="75" t="s">
        <v>258</v>
      </c>
      <c r="H230" s="75">
        <v>1</v>
      </c>
      <c r="I230" s="76">
        <v>4796</v>
      </c>
      <c r="J230" s="75" t="s">
        <v>269</v>
      </c>
      <c r="K230" s="77">
        <v>2</v>
      </c>
      <c r="L230" s="78" t="s">
        <v>210</v>
      </c>
      <c r="M230" s="75" t="s">
        <v>392</v>
      </c>
      <c r="N230" s="82">
        <v>2398</v>
      </c>
    </row>
    <row r="231" spans="2:14" x14ac:dyDescent="0.25">
      <c r="B231" s="74" t="s">
        <v>496</v>
      </c>
      <c r="C231" s="75">
        <v>65533553</v>
      </c>
      <c r="D231" s="75" t="s">
        <v>254</v>
      </c>
      <c r="E231" s="75">
        <v>60</v>
      </c>
      <c r="F231" s="75" t="s">
        <v>251</v>
      </c>
      <c r="G231" s="75" t="s">
        <v>247</v>
      </c>
      <c r="H231" s="75">
        <v>1</v>
      </c>
      <c r="I231" s="76">
        <v>8941</v>
      </c>
      <c r="J231" s="75" t="s">
        <v>262</v>
      </c>
      <c r="K231" s="77">
        <v>2</v>
      </c>
      <c r="L231" s="78" t="s">
        <v>213</v>
      </c>
      <c r="M231" s="75" t="s">
        <v>392</v>
      </c>
      <c r="N231" s="82">
        <v>4470.5</v>
      </c>
    </row>
    <row r="232" spans="2:14" x14ac:dyDescent="0.25">
      <c r="B232" s="74" t="s">
        <v>497</v>
      </c>
      <c r="C232" s="75">
        <v>60314548</v>
      </c>
      <c r="D232" s="75" t="s">
        <v>254</v>
      </c>
      <c r="E232" s="75">
        <v>45</v>
      </c>
      <c r="F232" s="75" t="s">
        <v>246</v>
      </c>
      <c r="G232" s="75" t="s">
        <v>252</v>
      </c>
      <c r="H232" s="75">
        <v>4</v>
      </c>
      <c r="I232" s="76">
        <v>3591</v>
      </c>
      <c r="J232" s="75" t="s">
        <v>248</v>
      </c>
      <c r="K232" s="77">
        <v>2</v>
      </c>
      <c r="L232" s="78" t="s">
        <v>203</v>
      </c>
      <c r="M232" s="75" t="s">
        <v>392</v>
      </c>
      <c r="N232" s="82">
        <v>1795.4999999999998</v>
      </c>
    </row>
    <row r="233" spans="2:14" x14ac:dyDescent="0.25">
      <c r="B233" s="74" t="s">
        <v>498</v>
      </c>
      <c r="C233" s="75">
        <v>56734626</v>
      </c>
      <c r="D233" s="75" t="s">
        <v>239</v>
      </c>
      <c r="E233" s="75">
        <v>40</v>
      </c>
      <c r="F233" s="75" t="s">
        <v>251</v>
      </c>
      <c r="G233" s="75" t="s">
        <v>241</v>
      </c>
      <c r="H233" s="75">
        <v>2</v>
      </c>
      <c r="I233" s="76">
        <v>7376</v>
      </c>
      <c r="J233" s="75" t="s">
        <v>248</v>
      </c>
      <c r="K233" s="77">
        <v>2</v>
      </c>
      <c r="L233" s="78" t="s">
        <v>193</v>
      </c>
      <c r="M233" s="75" t="s">
        <v>392</v>
      </c>
      <c r="N233" s="82">
        <v>3688.0000000000005</v>
      </c>
    </row>
    <row r="234" spans="2:14" x14ac:dyDescent="0.25">
      <c r="B234" s="74" t="s">
        <v>499</v>
      </c>
      <c r="C234" s="75">
        <v>58919637</v>
      </c>
      <c r="D234" s="75" t="s">
        <v>254</v>
      </c>
      <c r="E234" s="75">
        <v>29</v>
      </c>
      <c r="F234" s="75" t="s">
        <v>251</v>
      </c>
      <c r="G234" s="75" t="s">
        <v>247</v>
      </c>
      <c r="H234" s="75">
        <v>3</v>
      </c>
      <c r="I234" s="76">
        <v>5610</v>
      </c>
      <c r="J234" s="75" t="s">
        <v>242</v>
      </c>
      <c r="K234" s="77">
        <v>2</v>
      </c>
      <c r="L234" s="78" t="s">
        <v>209</v>
      </c>
      <c r="M234" s="75" t="s">
        <v>392</v>
      </c>
      <c r="N234" s="82">
        <v>2805</v>
      </c>
    </row>
    <row r="235" spans="2:14" x14ac:dyDescent="0.25">
      <c r="B235" s="74" t="s">
        <v>500</v>
      </c>
      <c r="C235" s="75">
        <v>46545853</v>
      </c>
      <c r="D235" s="75" t="s">
        <v>254</v>
      </c>
      <c r="E235" s="75">
        <v>23</v>
      </c>
      <c r="F235" s="75" t="s">
        <v>246</v>
      </c>
      <c r="G235" s="75" t="s">
        <v>247</v>
      </c>
      <c r="H235" s="75">
        <v>2</v>
      </c>
      <c r="I235" s="76">
        <v>4620</v>
      </c>
      <c r="J235" s="75" t="s">
        <v>269</v>
      </c>
      <c r="K235" s="77">
        <v>1</v>
      </c>
      <c r="L235" s="78" t="s">
        <v>271</v>
      </c>
      <c r="M235" s="75" t="s">
        <v>392</v>
      </c>
      <c r="N235" s="82">
        <v>1155</v>
      </c>
    </row>
    <row r="236" spans="2:14" x14ac:dyDescent="0.25">
      <c r="B236" s="74" t="s">
        <v>501</v>
      </c>
      <c r="C236" s="75">
        <v>38051910</v>
      </c>
      <c r="D236" s="75" t="s">
        <v>254</v>
      </c>
      <c r="E236" s="75">
        <v>59</v>
      </c>
      <c r="F236" s="75" t="s">
        <v>251</v>
      </c>
      <c r="G236" s="75" t="s">
        <v>252</v>
      </c>
      <c r="H236" s="75">
        <v>2</v>
      </c>
      <c r="I236" s="76">
        <v>5019</v>
      </c>
      <c r="J236" s="75" t="s">
        <v>242</v>
      </c>
      <c r="K236" s="77">
        <v>1</v>
      </c>
      <c r="L236" s="78" t="s">
        <v>210</v>
      </c>
      <c r="M236" s="75" t="s">
        <v>392</v>
      </c>
      <c r="N236" s="82">
        <v>1254.75</v>
      </c>
    </row>
    <row r="237" spans="2:14" x14ac:dyDescent="0.25">
      <c r="B237" s="74" t="s">
        <v>502</v>
      </c>
      <c r="C237" s="75">
        <v>43041661</v>
      </c>
      <c r="D237" s="75" t="s">
        <v>254</v>
      </c>
      <c r="E237" s="75">
        <v>56</v>
      </c>
      <c r="F237" s="75" t="s">
        <v>240</v>
      </c>
      <c r="G237" s="75" t="s">
        <v>241</v>
      </c>
      <c r="H237" s="75">
        <v>2</v>
      </c>
      <c r="I237" s="76">
        <v>7762</v>
      </c>
      <c r="J237" s="75" t="s">
        <v>242</v>
      </c>
      <c r="K237" s="77">
        <v>1</v>
      </c>
      <c r="L237" s="78" t="s">
        <v>213</v>
      </c>
      <c r="M237" s="75" t="s">
        <v>392</v>
      </c>
      <c r="N237" s="82">
        <v>1940.5</v>
      </c>
    </row>
    <row r="238" spans="2:14" x14ac:dyDescent="0.25">
      <c r="B238" s="74" t="s">
        <v>503</v>
      </c>
      <c r="C238" s="75">
        <v>60026449</v>
      </c>
      <c r="D238" s="75" t="s">
        <v>254</v>
      </c>
      <c r="E238" s="75">
        <v>43</v>
      </c>
      <c r="F238" s="75" t="s">
        <v>255</v>
      </c>
      <c r="G238" s="75" t="s">
        <v>258</v>
      </c>
      <c r="H238" s="75">
        <v>2</v>
      </c>
      <c r="I238" s="76">
        <v>5479</v>
      </c>
      <c r="J238" s="75" t="s">
        <v>256</v>
      </c>
      <c r="K238" s="77">
        <v>1</v>
      </c>
      <c r="L238" s="78" t="s">
        <v>212</v>
      </c>
      <c r="M238" s="75" t="s">
        <v>392</v>
      </c>
      <c r="N238" s="82">
        <v>1369.75</v>
      </c>
    </row>
    <row r="239" spans="2:14" x14ac:dyDescent="0.25">
      <c r="B239" s="74" t="s">
        <v>504</v>
      </c>
      <c r="C239" s="75">
        <v>42575946</v>
      </c>
      <c r="D239" s="75" t="s">
        <v>254</v>
      </c>
      <c r="E239" s="75">
        <v>36</v>
      </c>
      <c r="F239" s="75" t="s">
        <v>240</v>
      </c>
      <c r="G239" s="75" t="s">
        <v>241</v>
      </c>
      <c r="H239" s="75">
        <v>0</v>
      </c>
      <c r="I239" s="76">
        <v>9664</v>
      </c>
      <c r="J239" s="75" t="s">
        <v>262</v>
      </c>
      <c r="K239" s="77">
        <v>1</v>
      </c>
      <c r="L239" s="78" t="s">
        <v>271</v>
      </c>
      <c r="M239" s="75" t="s">
        <v>392</v>
      </c>
      <c r="N239" s="82">
        <v>2416</v>
      </c>
    </row>
    <row r="240" spans="2:14" x14ac:dyDescent="0.25">
      <c r="B240" s="74" t="s">
        <v>505</v>
      </c>
      <c r="C240" s="75">
        <v>26029532</v>
      </c>
      <c r="D240" s="75" t="s">
        <v>239</v>
      </c>
      <c r="E240" s="75">
        <v>23</v>
      </c>
      <c r="F240" s="75" t="s">
        <v>255</v>
      </c>
      <c r="G240" s="75" t="s">
        <v>258</v>
      </c>
      <c r="H240" s="75">
        <v>1</v>
      </c>
      <c r="I240" s="76">
        <v>4159</v>
      </c>
      <c r="J240" s="75" t="s">
        <v>269</v>
      </c>
      <c r="K240" s="77">
        <v>1</v>
      </c>
      <c r="L240" s="78" t="s">
        <v>215</v>
      </c>
      <c r="M240" s="75" t="s">
        <v>392</v>
      </c>
      <c r="N240" s="82">
        <v>1039.75</v>
      </c>
    </row>
    <row r="241" spans="2:14" x14ac:dyDescent="0.25">
      <c r="B241" s="74" t="s">
        <v>506</v>
      </c>
      <c r="C241" s="75">
        <v>65583414</v>
      </c>
      <c r="D241" s="75" t="s">
        <v>254</v>
      </c>
      <c r="E241" s="75">
        <v>35</v>
      </c>
      <c r="F241" s="75" t="s">
        <v>246</v>
      </c>
      <c r="G241" s="75" t="s">
        <v>241</v>
      </c>
      <c r="H241" s="75">
        <v>1</v>
      </c>
      <c r="I241" s="76">
        <v>8841</v>
      </c>
      <c r="J241" s="75" t="s">
        <v>262</v>
      </c>
      <c r="K241" s="77">
        <v>1</v>
      </c>
      <c r="L241" s="78" t="s">
        <v>212</v>
      </c>
      <c r="M241" s="75" t="s">
        <v>392</v>
      </c>
      <c r="N241" s="82">
        <v>2210.25</v>
      </c>
    </row>
    <row r="242" spans="2:14" x14ac:dyDescent="0.25">
      <c r="B242" s="74" t="s">
        <v>507</v>
      </c>
      <c r="C242" s="75">
        <v>58570994</v>
      </c>
      <c r="D242" s="75" t="s">
        <v>239</v>
      </c>
      <c r="E242" s="75">
        <v>23</v>
      </c>
      <c r="F242" s="75" t="s">
        <v>251</v>
      </c>
      <c r="G242" s="75" t="s">
        <v>247</v>
      </c>
      <c r="H242" s="75">
        <v>4</v>
      </c>
      <c r="I242" s="76">
        <v>8483</v>
      </c>
      <c r="J242" s="75" t="s">
        <v>248</v>
      </c>
      <c r="K242" s="77">
        <v>0</v>
      </c>
      <c r="L242" s="78" t="s">
        <v>382</v>
      </c>
      <c r="M242" s="75" t="s">
        <v>392</v>
      </c>
      <c r="N242" s="82">
        <v>0</v>
      </c>
    </row>
    <row r="243" spans="2:14" x14ac:dyDescent="0.25">
      <c r="B243" s="74" t="s">
        <v>508</v>
      </c>
      <c r="C243" s="75">
        <v>63710549</v>
      </c>
      <c r="D243" s="75" t="s">
        <v>254</v>
      </c>
      <c r="E243" s="75">
        <v>63</v>
      </c>
      <c r="F243" s="75" t="s">
        <v>251</v>
      </c>
      <c r="G243" s="75" t="s">
        <v>247</v>
      </c>
      <c r="H243" s="75">
        <v>2</v>
      </c>
      <c r="I243" s="76">
        <v>8786</v>
      </c>
      <c r="J243" s="75" t="s">
        <v>262</v>
      </c>
      <c r="K243" s="77">
        <v>0</v>
      </c>
      <c r="L243" s="78" t="s">
        <v>382</v>
      </c>
      <c r="M243" s="75" t="s">
        <v>392</v>
      </c>
      <c r="N243" s="82">
        <v>0</v>
      </c>
    </row>
    <row r="244" spans="2:14" x14ac:dyDescent="0.25">
      <c r="B244" s="74" t="s">
        <v>509</v>
      </c>
      <c r="C244" s="75">
        <v>36879585</v>
      </c>
      <c r="D244" s="75" t="s">
        <v>254</v>
      </c>
      <c r="E244" s="75">
        <v>40</v>
      </c>
      <c r="F244" s="75" t="s">
        <v>255</v>
      </c>
      <c r="G244" s="75" t="s">
        <v>252</v>
      </c>
      <c r="H244" s="75">
        <v>2</v>
      </c>
      <c r="I244" s="76">
        <v>8512</v>
      </c>
      <c r="J244" s="75" t="s">
        <v>269</v>
      </c>
      <c r="K244" s="77">
        <v>0</v>
      </c>
      <c r="L244" s="78" t="s">
        <v>382</v>
      </c>
      <c r="M244" s="75" t="s">
        <v>392</v>
      </c>
      <c r="N244" s="82">
        <v>0</v>
      </c>
    </row>
    <row r="245" spans="2:14" x14ac:dyDescent="0.25">
      <c r="B245" s="74" t="s">
        <v>510</v>
      </c>
      <c r="C245" s="75">
        <v>39129705</v>
      </c>
      <c r="D245" s="75" t="s">
        <v>254</v>
      </c>
      <c r="E245" s="75">
        <v>21</v>
      </c>
      <c r="F245" s="75" t="s">
        <v>251</v>
      </c>
      <c r="G245" s="75" t="s">
        <v>247</v>
      </c>
      <c r="H245" s="75">
        <v>2</v>
      </c>
      <c r="I245" s="76">
        <v>3263</v>
      </c>
      <c r="J245" s="75" t="s">
        <v>242</v>
      </c>
      <c r="K245" s="77">
        <v>0</v>
      </c>
      <c r="L245" s="78" t="s">
        <v>382</v>
      </c>
      <c r="M245" s="75" t="s">
        <v>392</v>
      </c>
      <c r="N245" s="82">
        <v>0</v>
      </c>
    </row>
    <row r="246" spans="2:14" x14ac:dyDescent="0.25">
      <c r="B246" s="74" t="s">
        <v>511</v>
      </c>
      <c r="C246" s="75">
        <v>50482400</v>
      </c>
      <c r="D246" s="75" t="s">
        <v>239</v>
      </c>
      <c r="E246" s="75">
        <v>29</v>
      </c>
      <c r="F246" s="75" t="s">
        <v>246</v>
      </c>
      <c r="G246" s="75" t="s">
        <v>241</v>
      </c>
      <c r="H246" s="75">
        <v>1</v>
      </c>
      <c r="I246" s="76">
        <v>8538</v>
      </c>
      <c r="J246" s="75" t="s">
        <v>262</v>
      </c>
      <c r="K246" s="77">
        <v>0</v>
      </c>
      <c r="L246" s="78" t="s">
        <v>382</v>
      </c>
      <c r="M246" s="75" t="s">
        <v>392</v>
      </c>
      <c r="N246" s="82">
        <v>0</v>
      </c>
    </row>
    <row r="247" spans="2:14" x14ac:dyDescent="0.25">
      <c r="B247" s="74" t="s">
        <v>512</v>
      </c>
      <c r="C247" s="75">
        <v>34816530</v>
      </c>
      <c r="D247" s="75" t="s">
        <v>239</v>
      </c>
      <c r="E247" s="75">
        <v>22</v>
      </c>
      <c r="F247" s="75" t="s">
        <v>246</v>
      </c>
      <c r="G247" s="75" t="s">
        <v>252</v>
      </c>
      <c r="H247" s="75">
        <v>2</v>
      </c>
      <c r="I247" s="76">
        <v>2869</v>
      </c>
      <c r="J247" s="75" t="s">
        <v>242</v>
      </c>
      <c r="K247" s="77">
        <v>0</v>
      </c>
      <c r="L247" s="78" t="s">
        <v>382</v>
      </c>
      <c r="M247" s="75" t="s">
        <v>392</v>
      </c>
      <c r="N247" s="82">
        <v>0</v>
      </c>
    </row>
    <row r="248" spans="2:14" x14ac:dyDescent="0.25">
      <c r="B248" s="74" t="s">
        <v>513</v>
      </c>
      <c r="C248" s="75">
        <v>45331708</v>
      </c>
      <c r="D248" s="75" t="s">
        <v>254</v>
      </c>
      <c r="E248" s="75">
        <v>32</v>
      </c>
      <c r="F248" s="75" t="s">
        <v>240</v>
      </c>
      <c r="G248" s="75" t="s">
        <v>241</v>
      </c>
      <c r="H248" s="75">
        <v>1</v>
      </c>
      <c r="I248" s="76">
        <v>8303</v>
      </c>
      <c r="J248" s="75" t="s">
        <v>262</v>
      </c>
      <c r="K248" s="77">
        <v>0</v>
      </c>
      <c r="L248" s="78" t="s">
        <v>382</v>
      </c>
      <c r="M248" s="75" t="s">
        <v>392</v>
      </c>
      <c r="N248" s="82">
        <v>0</v>
      </c>
    </row>
    <row r="249" spans="2:14" x14ac:dyDescent="0.25">
      <c r="B249" s="74" t="s">
        <v>514</v>
      </c>
      <c r="C249" s="75">
        <v>69558990</v>
      </c>
      <c r="D249" s="75" t="s">
        <v>239</v>
      </c>
      <c r="E249" s="75">
        <v>44</v>
      </c>
      <c r="F249" s="75" t="s">
        <v>255</v>
      </c>
      <c r="G249" s="75" t="s">
        <v>252</v>
      </c>
      <c r="H249" s="75">
        <v>0</v>
      </c>
      <c r="I249" s="76">
        <v>8254</v>
      </c>
      <c r="J249" s="75" t="s">
        <v>269</v>
      </c>
      <c r="K249" s="77">
        <v>10</v>
      </c>
      <c r="L249" s="78" t="s">
        <v>214</v>
      </c>
      <c r="M249" s="75" t="s">
        <v>515</v>
      </c>
      <c r="N249" s="82">
        <v>16508</v>
      </c>
    </row>
    <row r="250" spans="2:14" x14ac:dyDescent="0.25">
      <c r="B250" s="74" t="s">
        <v>516</v>
      </c>
      <c r="C250" s="75">
        <v>26141217</v>
      </c>
      <c r="D250" s="75" t="s">
        <v>254</v>
      </c>
      <c r="E250" s="75">
        <v>19</v>
      </c>
      <c r="F250" s="75" t="s">
        <v>246</v>
      </c>
      <c r="G250" s="75" t="s">
        <v>252</v>
      </c>
      <c r="H250" s="75">
        <v>1</v>
      </c>
      <c r="I250" s="76">
        <v>5413</v>
      </c>
      <c r="J250" s="75" t="s">
        <v>262</v>
      </c>
      <c r="K250" s="77">
        <v>10</v>
      </c>
      <c r="L250" s="78" t="s">
        <v>243</v>
      </c>
      <c r="M250" s="75" t="s">
        <v>515</v>
      </c>
      <c r="N250" s="82">
        <v>10826</v>
      </c>
    </row>
    <row r="251" spans="2:14" x14ac:dyDescent="0.25">
      <c r="B251" s="74" t="s">
        <v>517</v>
      </c>
      <c r="C251" s="75">
        <v>43231586</v>
      </c>
      <c r="D251" s="75" t="s">
        <v>254</v>
      </c>
      <c r="E251" s="75">
        <v>58</v>
      </c>
      <c r="F251" s="75" t="s">
        <v>240</v>
      </c>
      <c r="G251" s="75" t="s">
        <v>247</v>
      </c>
      <c r="H251" s="75">
        <v>1</v>
      </c>
      <c r="I251" s="76">
        <v>6146</v>
      </c>
      <c r="J251" s="75" t="s">
        <v>262</v>
      </c>
      <c r="K251" s="77">
        <v>10</v>
      </c>
      <c r="L251" s="78" t="s">
        <v>271</v>
      </c>
      <c r="M251" s="75" t="s">
        <v>515</v>
      </c>
      <c r="N251" s="82">
        <v>12292</v>
      </c>
    </row>
    <row r="252" spans="2:14" x14ac:dyDescent="0.25">
      <c r="B252" s="74" t="s">
        <v>518</v>
      </c>
      <c r="C252" s="75">
        <v>61510718</v>
      </c>
      <c r="D252" s="75" t="s">
        <v>239</v>
      </c>
      <c r="E252" s="75">
        <v>35</v>
      </c>
      <c r="F252" s="75" t="s">
        <v>255</v>
      </c>
      <c r="G252" s="75" t="s">
        <v>252</v>
      </c>
      <c r="H252" s="75">
        <v>0</v>
      </c>
      <c r="I252" s="76">
        <v>2397</v>
      </c>
      <c r="J252" s="75" t="s">
        <v>248</v>
      </c>
      <c r="K252" s="77">
        <v>10</v>
      </c>
      <c r="L252" s="78" t="s">
        <v>209</v>
      </c>
      <c r="M252" s="75" t="s">
        <v>515</v>
      </c>
      <c r="N252" s="82">
        <v>4794</v>
      </c>
    </row>
    <row r="253" spans="2:14" x14ac:dyDescent="0.25">
      <c r="B253" s="74" t="s">
        <v>519</v>
      </c>
      <c r="C253" s="75">
        <v>25320007</v>
      </c>
      <c r="D253" s="75" t="s">
        <v>239</v>
      </c>
      <c r="E253" s="75">
        <v>46</v>
      </c>
      <c r="F253" s="75" t="s">
        <v>255</v>
      </c>
      <c r="G253" s="75" t="s">
        <v>258</v>
      </c>
      <c r="H253" s="75">
        <v>1</v>
      </c>
      <c r="I253" s="76">
        <v>3616</v>
      </c>
      <c r="J253" s="75" t="s">
        <v>242</v>
      </c>
      <c r="K253" s="77">
        <v>10</v>
      </c>
      <c r="L253" s="78" t="s">
        <v>213</v>
      </c>
      <c r="M253" s="75" t="s">
        <v>515</v>
      </c>
      <c r="N253" s="82">
        <v>7232</v>
      </c>
    </row>
    <row r="254" spans="2:14" x14ac:dyDescent="0.25">
      <c r="B254" s="74" t="s">
        <v>520</v>
      </c>
      <c r="C254" s="75">
        <v>69141381</v>
      </c>
      <c r="D254" s="75" t="s">
        <v>239</v>
      </c>
      <c r="E254" s="75">
        <v>33</v>
      </c>
      <c r="F254" s="75" t="s">
        <v>251</v>
      </c>
      <c r="G254" s="75" t="s">
        <v>258</v>
      </c>
      <c r="H254" s="75">
        <v>2</v>
      </c>
      <c r="I254" s="76">
        <v>9435</v>
      </c>
      <c r="J254" s="75" t="s">
        <v>269</v>
      </c>
      <c r="K254" s="77">
        <v>10</v>
      </c>
      <c r="L254" s="78" t="s">
        <v>279</v>
      </c>
      <c r="M254" s="75" t="s">
        <v>515</v>
      </c>
      <c r="N254" s="82">
        <v>18870</v>
      </c>
    </row>
    <row r="255" spans="2:14" x14ac:dyDescent="0.25">
      <c r="B255" s="74" t="s">
        <v>521</v>
      </c>
      <c r="C255" s="75">
        <v>28585525</v>
      </c>
      <c r="D255" s="75" t="s">
        <v>239</v>
      </c>
      <c r="E255" s="75">
        <v>36</v>
      </c>
      <c r="F255" s="75" t="s">
        <v>240</v>
      </c>
      <c r="G255" s="75" t="s">
        <v>252</v>
      </c>
      <c r="H255" s="75">
        <v>4</v>
      </c>
      <c r="I255" s="76">
        <v>8526</v>
      </c>
      <c r="J255" s="75" t="s">
        <v>262</v>
      </c>
      <c r="K255" s="77">
        <v>10</v>
      </c>
      <c r="L255" s="78" t="s">
        <v>212</v>
      </c>
      <c r="M255" s="75" t="s">
        <v>515</v>
      </c>
      <c r="N255" s="82">
        <v>17052</v>
      </c>
    </row>
    <row r="256" spans="2:14" x14ac:dyDescent="0.25">
      <c r="B256" s="74" t="s">
        <v>522</v>
      </c>
      <c r="C256" s="75">
        <v>36455402</v>
      </c>
      <c r="D256" s="75" t="s">
        <v>239</v>
      </c>
      <c r="E256" s="75">
        <v>23</v>
      </c>
      <c r="F256" s="75" t="s">
        <v>255</v>
      </c>
      <c r="G256" s="75" t="s">
        <v>252</v>
      </c>
      <c r="H256" s="75">
        <v>4</v>
      </c>
      <c r="I256" s="76">
        <v>8387</v>
      </c>
      <c r="J256" s="75" t="s">
        <v>269</v>
      </c>
      <c r="K256" s="77">
        <v>10</v>
      </c>
      <c r="L256" s="78" t="s">
        <v>213</v>
      </c>
      <c r="M256" s="75" t="s">
        <v>515</v>
      </c>
      <c r="N256" s="82">
        <v>16774</v>
      </c>
    </row>
    <row r="257" spans="2:14" x14ac:dyDescent="0.25">
      <c r="B257" s="74" t="s">
        <v>523</v>
      </c>
      <c r="C257" s="75">
        <v>28954609</v>
      </c>
      <c r="D257" s="75" t="s">
        <v>239</v>
      </c>
      <c r="E257" s="75">
        <v>51</v>
      </c>
      <c r="F257" s="75" t="s">
        <v>251</v>
      </c>
      <c r="G257" s="75" t="s">
        <v>252</v>
      </c>
      <c r="H257" s="75">
        <v>3</v>
      </c>
      <c r="I257" s="76">
        <v>6011</v>
      </c>
      <c r="J257" s="75" t="s">
        <v>269</v>
      </c>
      <c r="K257" s="77">
        <v>9</v>
      </c>
      <c r="L257" s="78" t="s">
        <v>209</v>
      </c>
      <c r="M257" s="75" t="s">
        <v>515</v>
      </c>
      <c r="N257" s="82">
        <v>10819.8</v>
      </c>
    </row>
    <row r="258" spans="2:14" x14ac:dyDescent="0.25">
      <c r="B258" s="74" t="s">
        <v>524</v>
      </c>
      <c r="C258" s="75">
        <v>63116628</v>
      </c>
      <c r="D258" s="75" t="s">
        <v>254</v>
      </c>
      <c r="E258" s="75">
        <v>28</v>
      </c>
      <c r="F258" s="75" t="s">
        <v>240</v>
      </c>
      <c r="G258" s="75" t="s">
        <v>241</v>
      </c>
      <c r="H258" s="75">
        <v>1</v>
      </c>
      <c r="I258" s="76">
        <v>5057</v>
      </c>
      <c r="J258" s="75" t="s">
        <v>269</v>
      </c>
      <c r="K258" s="77">
        <v>9</v>
      </c>
      <c r="L258" s="78" t="s">
        <v>243</v>
      </c>
      <c r="M258" s="75" t="s">
        <v>515</v>
      </c>
      <c r="N258" s="82">
        <v>9102.6</v>
      </c>
    </row>
    <row r="259" spans="2:14" x14ac:dyDescent="0.25">
      <c r="B259" s="74" t="s">
        <v>525</v>
      </c>
      <c r="C259" s="75">
        <v>51895140</v>
      </c>
      <c r="D259" s="75" t="s">
        <v>239</v>
      </c>
      <c r="E259" s="75">
        <v>44</v>
      </c>
      <c r="F259" s="75" t="s">
        <v>246</v>
      </c>
      <c r="G259" s="75" t="s">
        <v>258</v>
      </c>
      <c r="H259" s="75">
        <v>4</v>
      </c>
      <c r="I259" s="76">
        <v>3254</v>
      </c>
      <c r="J259" s="75" t="s">
        <v>256</v>
      </c>
      <c r="K259" s="77">
        <v>9</v>
      </c>
      <c r="L259" s="78" t="s">
        <v>212</v>
      </c>
      <c r="M259" s="75" t="s">
        <v>515</v>
      </c>
      <c r="N259" s="82">
        <v>5857.2000000000007</v>
      </c>
    </row>
    <row r="260" spans="2:14" x14ac:dyDescent="0.25">
      <c r="B260" s="74" t="s">
        <v>526</v>
      </c>
      <c r="C260" s="75">
        <v>46095055</v>
      </c>
      <c r="D260" s="75" t="s">
        <v>254</v>
      </c>
      <c r="E260" s="75">
        <v>26</v>
      </c>
      <c r="F260" s="75" t="s">
        <v>255</v>
      </c>
      <c r="G260" s="75" t="s">
        <v>252</v>
      </c>
      <c r="H260" s="75">
        <v>4</v>
      </c>
      <c r="I260" s="76">
        <v>5473</v>
      </c>
      <c r="J260" s="75" t="s">
        <v>248</v>
      </c>
      <c r="K260" s="77">
        <v>9</v>
      </c>
      <c r="L260" s="78" t="s">
        <v>193</v>
      </c>
      <c r="M260" s="75" t="s">
        <v>515</v>
      </c>
      <c r="N260" s="82">
        <v>9851.4</v>
      </c>
    </row>
    <row r="261" spans="2:14" x14ac:dyDescent="0.25">
      <c r="B261" s="74" t="s">
        <v>527</v>
      </c>
      <c r="C261" s="75">
        <v>51334141</v>
      </c>
      <c r="D261" s="75" t="s">
        <v>239</v>
      </c>
      <c r="E261" s="75">
        <v>42</v>
      </c>
      <c r="F261" s="75" t="s">
        <v>240</v>
      </c>
      <c r="G261" s="75" t="s">
        <v>241</v>
      </c>
      <c r="H261" s="75">
        <v>1</v>
      </c>
      <c r="I261" s="76">
        <v>3437</v>
      </c>
      <c r="J261" s="75" t="s">
        <v>262</v>
      </c>
      <c r="K261" s="77">
        <v>9</v>
      </c>
      <c r="L261" s="78" t="s">
        <v>213</v>
      </c>
      <c r="M261" s="75" t="s">
        <v>515</v>
      </c>
      <c r="N261" s="82">
        <v>6186.5999999999995</v>
      </c>
    </row>
    <row r="262" spans="2:14" x14ac:dyDescent="0.25">
      <c r="B262" s="74" t="s">
        <v>528</v>
      </c>
      <c r="C262" s="75">
        <v>26575355</v>
      </c>
      <c r="D262" s="75" t="s">
        <v>254</v>
      </c>
      <c r="E262" s="75">
        <v>40</v>
      </c>
      <c r="F262" s="75" t="s">
        <v>240</v>
      </c>
      <c r="G262" s="75" t="s">
        <v>241</v>
      </c>
      <c r="H262" s="75">
        <v>3</v>
      </c>
      <c r="I262" s="76">
        <v>3798</v>
      </c>
      <c r="J262" s="75" t="s">
        <v>269</v>
      </c>
      <c r="K262" s="77">
        <v>9</v>
      </c>
      <c r="L262" s="78" t="s">
        <v>210</v>
      </c>
      <c r="M262" s="75" t="s">
        <v>515</v>
      </c>
      <c r="N262" s="82">
        <v>6836.4</v>
      </c>
    </row>
    <row r="263" spans="2:14" x14ac:dyDescent="0.25">
      <c r="B263" s="74" t="s">
        <v>529</v>
      </c>
      <c r="C263" s="75">
        <v>45862769</v>
      </c>
      <c r="D263" s="75" t="s">
        <v>254</v>
      </c>
      <c r="E263" s="75">
        <v>44</v>
      </c>
      <c r="F263" s="75" t="s">
        <v>255</v>
      </c>
      <c r="G263" s="75" t="s">
        <v>247</v>
      </c>
      <c r="H263" s="75">
        <v>4</v>
      </c>
      <c r="I263" s="76">
        <v>2487</v>
      </c>
      <c r="J263" s="75" t="s">
        <v>242</v>
      </c>
      <c r="K263" s="77">
        <v>9</v>
      </c>
      <c r="L263" s="78" t="s">
        <v>193</v>
      </c>
      <c r="M263" s="75" t="s">
        <v>515</v>
      </c>
      <c r="N263" s="82">
        <v>4476.6000000000004</v>
      </c>
    </row>
    <row r="264" spans="2:14" x14ac:dyDescent="0.25">
      <c r="B264" s="74" t="s">
        <v>530</v>
      </c>
      <c r="C264" s="75">
        <v>48203862</v>
      </c>
      <c r="D264" s="75" t="s">
        <v>239</v>
      </c>
      <c r="E264" s="75">
        <v>38</v>
      </c>
      <c r="F264" s="75" t="s">
        <v>251</v>
      </c>
      <c r="G264" s="75" t="s">
        <v>241</v>
      </c>
      <c r="H264" s="75">
        <v>1</v>
      </c>
      <c r="I264" s="76">
        <v>2293</v>
      </c>
      <c r="J264" s="75" t="s">
        <v>269</v>
      </c>
      <c r="K264" s="77">
        <v>9</v>
      </c>
      <c r="L264" s="78" t="s">
        <v>214</v>
      </c>
      <c r="M264" s="75" t="s">
        <v>515</v>
      </c>
      <c r="N264" s="82">
        <v>4127.3999999999996</v>
      </c>
    </row>
    <row r="265" spans="2:14" x14ac:dyDescent="0.25">
      <c r="B265" s="74" t="s">
        <v>531</v>
      </c>
      <c r="C265" s="75">
        <v>35545340</v>
      </c>
      <c r="D265" s="75" t="s">
        <v>254</v>
      </c>
      <c r="E265" s="75">
        <v>50</v>
      </c>
      <c r="F265" s="75" t="s">
        <v>240</v>
      </c>
      <c r="G265" s="75" t="s">
        <v>241</v>
      </c>
      <c r="H265" s="75">
        <v>4</v>
      </c>
      <c r="I265" s="76">
        <v>6533</v>
      </c>
      <c r="J265" s="75" t="s">
        <v>262</v>
      </c>
      <c r="K265" s="77">
        <v>9</v>
      </c>
      <c r="L265" s="78" t="s">
        <v>193</v>
      </c>
      <c r="M265" s="75" t="s">
        <v>515</v>
      </c>
      <c r="N265" s="82">
        <v>11759.400000000001</v>
      </c>
    </row>
    <row r="266" spans="2:14" x14ac:dyDescent="0.25">
      <c r="B266" s="74" t="s">
        <v>532</v>
      </c>
      <c r="C266" s="75">
        <v>57187654</v>
      </c>
      <c r="D266" s="75" t="s">
        <v>254</v>
      </c>
      <c r="E266" s="75">
        <v>30</v>
      </c>
      <c r="F266" s="75" t="s">
        <v>240</v>
      </c>
      <c r="G266" s="75" t="s">
        <v>258</v>
      </c>
      <c r="H266" s="75">
        <v>3</v>
      </c>
      <c r="I266" s="76">
        <v>7858</v>
      </c>
      <c r="J266" s="75" t="s">
        <v>256</v>
      </c>
      <c r="K266" s="77">
        <v>9</v>
      </c>
      <c r="L266" s="78" t="s">
        <v>243</v>
      </c>
      <c r="M266" s="75" t="s">
        <v>515</v>
      </c>
      <c r="N266" s="82">
        <v>14144.400000000001</v>
      </c>
    </row>
    <row r="267" spans="2:14" x14ac:dyDescent="0.25">
      <c r="B267" s="74" t="s">
        <v>533</v>
      </c>
      <c r="C267" s="75">
        <v>54224873</v>
      </c>
      <c r="D267" s="75" t="s">
        <v>254</v>
      </c>
      <c r="E267" s="75">
        <v>38</v>
      </c>
      <c r="F267" s="75" t="s">
        <v>240</v>
      </c>
      <c r="G267" s="75" t="s">
        <v>258</v>
      </c>
      <c r="H267" s="75">
        <v>4</v>
      </c>
      <c r="I267" s="76">
        <v>2934</v>
      </c>
      <c r="J267" s="75" t="s">
        <v>248</v>
      </c>
      <c r="K267" s="77">
        <v>9</v>
      </c>
      <c r="L267" s="78" t="s">
        <v>209</v>
      </c>
      <c r="M267" s="75" t="s">
        <v>515</v>
      </c>
      <c r="N267" s="82">
        <v>5281.2</v>
      </c>
    </row>
    <row r="268" spans="2:14" x14ac:dyDescent="0.25">
      <c r="B268" s="74" t="s">
        <v>534</v>
      </c>
      <c r="C268" s="75">
        <v>57169251</v>
      </c>
      <c r="D268" s="75" t="s">
        <v>254</v>
      </c>
      <c r="E268" s="75">
        <v>49</v>
      </c>
      <c r="F268" s="75" t="s">
        <v>240</v>
      </c>
      <c r="G268" s="75" t="s">
        <v>241</v>
      </c>
      <c r="H268" s="75">
        <v>1</v>
      </c>
      <c r="I268" s="76">
        <v>3705</v>
      </c>
      <c r="J268" s="75" t="s">
        <v>248</v>
      </c>
      <c r="K268" s="77">
        <v>9</v>
      </c>
      <c r="L268" s="78" t="s">
        <v>203</v>
      </c>
      <c r="M268" s="75" t="s">
        <v>515</v>
      </c>
      <c r="N268" s="82">
        <v>6669</v>
      </c>
    </row>
    <row r="269" spans="2:14" x14ac:dyDescent="0.25">
      <c r="B269" s="74" t="s">
        <v>535</v>
      </c>
      <c r="C269" s="75">
        <v>57344953</v>
      </c>
      <c r="D269" s="75" t="s">
        <v>239</v>
      </c>
      <c r="E269" s="75">
        <v>43</v>
      </c>
      <c r="F269" s="75" t="s">
        <v>251</v>
      </c>
      <c r="G269" s="75" t="s">
        <v>241</v>
      </c>
      <c r="H269" s="75">
        <v>2</v>
      </c>
      <c r="I269" s="76">
        <v>6683</v>
      </c>
      <c r="J269" s="75" t="s">
        <v>256</v>
      </c>
      <c r="K269" s="77">
        <v>8</v>
      </c>
      <c r="L269" s="78" t="s">
        <v>271</v>
      </c>
      <c r="M269" s="75" t="s">
        <v>515</v>
      </c>
      <c r="N269" s="82">
        <v>10692.8</v>
      </c>
    </row>
    <row r="270" spans="2:14" x14ac:dyDescent="0.25">
      <c r="B270" s="74" t="s">
        <v>536</v>
      </c>
      <c r="C270" s="75">
        <v>28809555</v>
      </c>
      <c r="D270" s="75" t="s">
        <v>254</v>
      </c>
      <c r="E270" s="75">
        <v>39</v>
      </c>
      <c r="F270" s="75" t="s">
        <v>240</v>
      </c>
      <c r="G270" s="75" t="s">
        <v>241</v>
      </c>
      <c r="H270" s="75">
        <v>3</v>
      </c>
      <c r="I270" s="76">
        <v>3008</v>
      </c>
      <c r="J270" s="75" t="s">
        <v>262</v>
      </c>
      <c r="K270" s="77">
        <v>8</v>
      </c>
      <c r="L270" s="78" t="s">
        <v>193</v>
      </c>
      <c r="M270" s="75" t="s">
        <v>515</v>
      </c>
      <c r="N270" s="82">
        <v>4812.7999999999993</v>
      </c>
    </row>
    <row r="271" spans="2:14" x14ac:dyDescent="0.25">
      <c r="B271" s="74" t="s">
        <v>537</v>
      </c>
      <c r="C271" s="75">
        <v>26888506</v>
      </c>
      <c r="D271" s="75" t="s">
        <v>239</v>
      </c>
      <c r="E271" s="75">
        <v>34</v>
      </c>
      <c r="F271" s="75" t="s">
        <v>246</v>
      </c>
      <c r="G271" s="75" t="s">
        <v>247</v>
      </c>
      <c r="H271" s="75">
        <v>1</v>
      </c>
      <c r="I271" s="76">
        <v>6770</v>
      </c>
      <c r="J271" s="75" t="s">
        <v>256</v>
      </c>
      <c r="K271" s="77">
        <v>8</v>
      </c>
      <c r="L271" s="78" t="s">
        <v>213</v>
      </c>
      <c r="M271" s="75" t="s">
        <v>515</v>
      </c>
      <c r="N271" s="82">
        <v>10832</v>
      </c>
    </row>
    <row r="272" spans="2:14" x14ac:dyDescent="0.25">
      <c r="B272" s="74" t="s">
        <v>538</v>
      </c>
      <c r="C272" s="75">
        <v>29391045</v>
      </c>
      <c r="D272" s="75" t="s">
        <v>254</v>
      </c>
      <c r="E272" s="75">
        <v>53</v>
      </c>
      <c r="F272" s="75" t="s">
        <v>255</v>
      </c>
      <c r="G272" s="75" t="s">
        <v>241</v>
      </c>
      <c r="H272" s="75">
        <v>1</v>
      </c>
      <c r="I272" s="76">
        <v>5661</v>
      </c>
      <c r="J272" s="75" t="s">
        <v>248</v>
      </c>
      <c r="K272" s="77">
        <v>8</v>
      </c>
      <c r="L272" s="78" t="s">
        <v>212</v>
      </c>
      <c r="M272" s="75" t="s">
        <v>515</v>
      </c>
      <c r="N272" s="82">
        <v>9057.6</v>
      </c>
    </row>
    <row r="273" spans="2:14" x14ac:dyDescent="0.25">
      <c r="B273" s="74" t="s">
        <v>539</v>
      </c>
      <c r="C273" s="75">
        <v>39973526</v>
      </c>
      <c r="D273" s="75" t="s">
        <v>239</v>
      </c>
      <c r="E273" s="75">
        <v>45</v>
      </c>
      <c r="F273" s="75" t="s">
        <v>240</v>
      </c>
      <c r="G273" s="75" t="s">
        <v>241</v>
      </c>
      <c r="H273" s="75">
        <v>2</v>
      </c>
      <c r="I273" s="76">
        <v>4248</v>
      </c>
      <c r="J273" s="75" t="s">
        <v>248</v>
      </c>
      <c r="K273" s="77">
        <v>8</v>
      </c>
      <c r="L273" s="78" t="s">
        <v>243</v>
      </c>
      <c r="M273" s="75" t="s">
        <v>515</v>
      </c>
      <c r="N273" s="82">
        <v>6796.7999999999993</v>
      </c>
    </row>
    <row r="274" spans="2:14" x14ac:dyDescent="0.25">
      <c r="B274" s="74" t="s">
        <v>540</v>
      </c>
      <c r="C274" s="75">
        <v>61079920</v>
      </c>
      <c r="D274" s="75" t="s">
        <v>254</v>
      </c>
      <c r="E274" s="75">
        <v>31</v>
      </c>
      <c r="F274" s="75" t="s">
        <v>251</v>
      </c>
      <c r="G274" s="75" t="s">
        <v>247</v>
      </c>
      <c r="H274" s="75">
        <v>1</v>
      </c>
      <c r="I274" s="76">
        <v>8751</v>
      </c>
      <c r="J274" s="75" t="s">
        <v>248</v>
      </c>
      <c r="K274" s="77">
        <v>8</v>
      </c>
      <c r="L274" s="78" t="s">
        <v>279</v>
      </c>
      <c r="M274" s="75" t="s">
        <v>515</v>
      </c>
      <c r="N274" s="82">
        <v>14001.6</v>
      </c>
    </row>
    <row r="275" spans="2:14" x14ac:dyDescent="0.25">
      <c r="B275" s="74" t="s">
        <v>541</v>
      </c>
      <c r="C275" s="75">
        <v>48172776</v>
      </c>
      <c r="D275" s="75" t="s">
        <v>239</v>
      </c>
      <c r="E275" s="75">
        <v>44</v>
      </c>
      <c r="F275" s="75" t="s">
        <v>255</v>
      </c>
      <c r="G275" s="75" t="s">
        <v>247</v>
      </c>
      <c r="H275" s="75">
        <v>1</v>
      </c>
      <c r="I275" s="76">
        <v>9907</v>
      </c>
      <c r="J275" s="75" t="s">
        <v>256</v>
      </c>
      <c r="K275" s="77">
        <v>8</v>
      </c>
      <c r="L275" s="78" t="s">
        <v>215</v>
      </c>
      <c r="M275" s="75" t="s">
        <v>515</v>
      </c>
      <c r="N275" s="82">
        <v>15851.199999999999</v>
      </c>
    </row>
    <row r="276" spans="2:14" x14ac:dyDescent="0.25">
      <c r="B276" s="74" t="s">
        <v>542</v>
      </c>
      <c r="C276" s="75">
        <v>67390958</v>
      </c>
      <c r="D276" s="75" t="s">
        <v>254</v>
      </c>
      <c r="E276" s="75">
        <v>61</v>
      </c>
      <c r="F276" s="75" t="s">
        <v>240</v>
      </c>
      <c r="G276" s="75" t="s">
        <v>258</v>
      </c>
      <c r="H276" s="75">
        <v>1</v>
      </c>
      <c r="I276" s="76">
        <v>4998</v>
      </c>
      <c r="J276" s="75" t="s">
        <v>262</v>
      </c>
      <c r="K276" s="77">
        <v>8</v>
      </c>
      <c r="L276" s="78" t="s">
        <v>213</v>
      </c>
      <c r="M276" s="75" t="s">
        <v>515</v>
      </c>
      <c r="N276" s="82">
        <v>7996.7999999999993</v>
      </c>
    </row>
    <row r="277" spans="2:14" x14ac:dyDescent="0.25">
      <c r="B277" s="74" t="s">
        <v>543</v>
      </c>
      <c r="C277" s="75">
        <v>34284786</v>
      </c>
      <c r="D277" s="75" t="s">
        <v>254</v>
      </c>
      <c r="E277" s="75">
        <v>38</v>
      </c>
      <c r="F277" s="75" t="s">
        <v>255</v>
      </c>
      <c r="G277" s="75" t="s">
        <v>258</v>
      </c>
      <c r="H277" s="75">
        <v>3</v>
      </c>
      <c r="I277" s="76">
        <v>9961</v>
      </c>
      <c r="J277" s="75" t="s">
        <v>256</v>
      </c>
      <c r="K277" s="77">
        <v>8</v>
      </c>
      <c r="L277" s="78" t="s">
        <v>215</v>
      </c>
      <c r="M277" s="75" t="s">
        <v>515</v>
      </c>
      <c r="N277" s="82">
        <v>15937.6</v>
      </c>
    </row>
    <row r="278" spans="2:14" x14ac:dyDescent="0.25">
      <c r="B278" s="74" t="s">
        <v>544</v>
      </c>
      <c r="C278" s="75">
        <v>70173717</v>
      </c>
      <c r="D278" s="75" t="s">
        <v>254</v>
      </c>
      <c r="E278" s="75">
        <v>34</v>
      </c>
      <c r="F278" s="75" t="s">
        <v>255</v>
      </c>
      <c r="G278" s="75" t="s">
        <v>252</v>
      </c>
      <c r="H278" s="75">
        <v>3</v>
      </c>
      <c r="I278" s="76">
        <v>7323</v>
      </c>
      <c r="J278" s="75" t="s">
        <v>248</v>
      </c>
      <c r="K278" s="77">
        <v>7</v>
      </c>
      <c r="L278" s="78" t="s">
        <v>263</v>
      </c>
      <c r="M278" s="75" t="s">
        <v>515</v>
      </c>
      <c r="N278" s="82">
        <v>10252.200000000001</v>
      </c>
    </row>
    <row r="279" spans="2:14" x14ac:dyDescent="0.25">
      <c r="B279" s="74" t="s">
        <v>545</v>
      </c>
      <c r="C279" s="75">
        <v>68642293</v>
      </c>
      <c r="D279" s="75" t="s">
        <v>254</v>
      </c>
      <c r="E279" s="75">
        <v>44</v>
      </c>
      <c r="F279" s="75" t="s">
        <v>255</v>
      </c>
      <c r="G279" s="75" t="s">
        <v>241</v>
      </c>
      <c r="H279" s="75">
        <v>3</v>
      </c>
      <c r="I279" s="76">
        <v>9967</v>
      </c>
      <c r="J279" s="75" t="s">
        <v>256</v>
      </c>
      <c r="K279" s="77">
        <v>7</v>
      </c>
      <c r="L279" s="78" t="s">
        <v>271</v>
      </c>
      <c r="M279" s="75" t="s">
        <v>515</v>
      </c>
      <c r="N279" s="82">
        <v>13953.800000000001</v>
      </c>
    </row>
    <row r="280" spans="2:14" x14ac:dyDescent="0.25">
      <c r="B280" s="74" t="s">
        <v>546</v>
      </c>
      <c r="C280" s="75">
        <v>59350848</v>
      </c>
      <c r="D280" s="75" t="s">
        <v>254</v>
      </c>
      <c r="E280" s="75">
        <v>36</v>
      </c>
      <c r="F280" s="75" t="s">
        <v>240</v>
      </c>
      <c r="G280" s="75" t="s">
        <v>258</v>
      </c>
      <c r="H280" s="75">
        <v>4</v>
      </c>
      <c r="I280" s="76">
        <v>7210</v>
      </c>
      <c r="J280" s="75" t="s">
        <v>269</v>
      </c>
      <c r="K280" s="77">
        <v>7</v>
      </c>
      <c r="L280" s="78" t="s">
        <v>210</v>
      </c>
      <c r="M280" s="75" t="s">
        <v>515</v>
      </c>
      <c r="N280" s="82">
        <v>10094</v>
      </c>
    </row>
    <row r="281" spans="2:14" x14ac:dyDescent="0.25">
      <c r="B281" s="74" t="s">
        <v>547</v>
      </c>
      <c r="C281" s="75">
        <v>39145279</v>
      </c>
      <c r="D281" s="75" t="s">
        <v>254</v>
      </c>
      <c r="E281" s="75">
        <v>61</v>
      </c>
      <c r="F281" s="75" t="s">
        <v>251</v>
      </c>
      <c r="G281" s="75" t="s">
        <v>252</v>
      </c>
      <c r="H281" s="75">
        <v>3</v>
      </c>
      <c r="I281" s="76">
        <v>3246</v>
      </c>
      <c r="J281" s="75" t="s">
        <v>248</v>
      </c>
      <c r="K281" s="77">
        <v>7</v>
      </c>
      <c r="L281" s="78" t="s">
        <v>271</v>
      </c>
      <c r="M281" s="75" t="s">
        <v>515</v>
      </c>
      <c r="N281" s="82">
        <v>4544.3999999999996</v>
      </c>
    </row>
    <row r="282" spans="2:14" x14ac:dyDescent="0.25">
      <c r="B282" s="74" t="s">
        <v>548</v>
      </c>
      <c r="C282" s="75">
        <v>46872530</v>
      </c>
      <c r="D282" s="75" t="s">
        <v>254</v>
      </c>
      <c r="E282" s="75">
        <v>18</v>
      </c>
      <c r="F282" s="75" t="s">
        <v>255</v>
      </c>
      <c r="G282" s="75" t="s">
        <v>258</v>
      </c>
      <c r="H282" s="75">
        <v>3</v>
      </c>
      <c r="I282" s="76">
        <v>4602</v>
      </c>
      <c r="J282" s="75" t="s">
        <v>269</v>
      </c>
      <c r="K282" s="77">
        <v>7</v>
      </c>
      <c r="L282" s="78" t="s">
        <v>209</v>
      </c>
      <c r="M282" s="75" t="s">
        <v>515</v>
      </c>
      <c r="N282" s="82">
        <v>6442.7999999999993</v>
      </c>
    </row>
    <row r="283" spans="2:14" x14ac:dyDescent="0.25">
      <c r="B283" s="74" t="s">
        <v>549</v>
      </c>
      <c r="C283" s="75">
        <v>42263471</v>
      </c>
      <c r="D283" s="75" t="s">
        <v>239</v>
      </c>
      <c r="E283" s="75">
        <v>33</v>
      </c>
      <c r="F283" s="75" t="s">
        <v>240</v>
      </c>
      <c r="G283" s="75" t="s">
        <v>247</v>
      </c>
      <c r="H283" s="75">
        <v>2</v>
      </c>
      <c r="I283" s="76">
        <v>4373</v>
      </c>
      <c r="J283" s="75" t="s">
        <v>242</v>
      </c>
      <c r="K283" s="77">
        <v>7</v>
      </c>
      <c r="L283" s="78" t="s">
        <v>263</v>
      </c>
      <c r="M283" s="75" t="s">
        <v>515</v>
      </c>
      <c r="N283" s="82">
        <v>6122.2000000000007</v>
      </c>
    </row>
    <row r="284" spans="2:14" x14ac:dyDescent="0.25">
      <c r="B284" s="74" t="s">
        <v>550</v>
      </c>
      <c r="C284" s="75">
        <v>35158725</v>
      </c>
      <c r="D284" s="75" t="s">
        <v>254</v>
      </c>
      <c r="E284" s="75">
        <v>22</v>
      </c>
      <c r="F284" s="75" t="s">
        <v>251</v>
      </c>
      <c r="G284" s="75" t="s">
        <v>258</v>
      </c>
      <c r="H284" s="75">
        <v>2</v>
      </c>
      <c r="I284" s="76">
        <v>2415</v>
      </c>
      <c r="J284" s="75" t="s">
        <v>256</v>
      </c>
      <c r="K284" s="77">
        <v>7</v>
      </c>
      <c r="L284" s="78" t="s">
        <v>279</v>
      </c>
      <c r="M284" s="75" t="s">
        <v>515</v>
      </c>
      <c r="N284" s="82">
        <v>3381</v>
      </c>
    </row>
    <row r="285" spans="2:14" x14ac:dyDescent="0.25">
      <c r="B285" s="74" t="s">
        <v>551</v>
      </c>
      <c r="C285" s="75">
        <v>36185836</v>
      </c>
      <c r="D285" s="75" t="s">
        <v>254</v>
      </c>
      <c r="E285" s="75">
        <v>49</v>
      </c>
      <c r="F285" s="75" t="s">
        <v>240</v>
      </c>
      <c r="G285" s="75" t="s">
        <v>241</v>
      </c>
      <c r="H285" s="75">
        <v>3</v>
      </c>
      <c r="I285" s="76">
        <v>9421</v>
      </c>
      <c r="J285" s="75" t="s">
        <v>256</v>
      </c>
      <c r="K285" s="77">
        <v>7</v>
      </c>
      <c r="L285" s="78" t="s">
        <v>203</v>
      </c>
      <c r="M285" s="75" t="s">
        <v>515</v>
      </c>
      <c r="N285" s="82">
        <v>13189.400000000001</v>
      </c>
    </row>
    <row r="286" spans="2:14" x14ac:dyDescent="0.25">
      <c r="B286" s="74" t="s">
        <v>552</v>
      </c>
      <c r="C286" s="75">
        <v>43627007</v>
      </c>
      <c r="D286" s="75" t="s">
        <v>239</v>
      </c>
      <c r="E286" s="75">
        <v>44</v>
      </c>
      <c r="F286" s="75" t="s">
        <v>255</v>
      </c>
      <c r="G286" s="75" t="s">
        <v>252</v>
      </c>
      <c r="H286" s="75">
        <v>1</v>
      </c>
      <c r="I286" s="76">
        <v>2298</v>
      </c>
      <c r="J286" s="75" t="s">
        <v>269</v>
      </c>
      <c r="K286" s="77">
        <v>7</v>
      </c>
      <c r="L286" s="78" t="s">
        <v>210</v>
      </c>
      <c r="M286" s="75" t="s">
        <v>515</v>
      </c>
      <c r="N286" s="82">
        <v>3217.2000000000003</v>
      </c>
    </row>
    <row r="287" spans="2:14" x14ac:dyDescent="0.25">
      <c r="B287" s="74" t="s">
        <v>553</v>
      </c>
      <c r="C287" s="75">
        <v>22444347</v>
      </c>
      <c r="D287" s="75" t="s">
        <v>239</v>
      </c>
      <c r="E287" s="75">
        <v>38</v>
      </c>
      <c r="F287" s="75" t="s">
        <v>246</v>
      </c>
      <c r="G287" s="75" t="s">
        <v>241</v>
      </c>
      <c r="H287" s="75">
        <v>0</v>
      </c>
      <c r="I287" s="76">
        <v>5058</v>
      </c>
      <c r="J287" s="75" t="s">
        <v>256</v>
      </c>
      <c r="K287" s="77">
        <v>7</v>
      </c>
      <c r="L287" s="78" t="s">
        <v>271</v>
      </c>
      <c r="M287" s="75" t="s">
        <v>515</v>
      </c>
      <c r="N287" s="82">
        <v>7081.2</v>
      </c>
    </row>
    <row r="288" spans="2:14" x14ac:dyDescent="0.25">
      <c r="B288" s="74" t="s">
        <v>554</v>
      </c>
      <c r="C288" s="75">
        <v>22876906</v>
      </c>
      <c r="D288" s="75" t="s">
        <v>254</v>
      </c>
      <c r="E288" s="75">
        <v>48</v>
      </c>
      <c r="F288" s="75" t="s">
        <v>240</v>
      </c>
      <c r="G288" s="75" t="s">
        <v>241</v>
      </c>
      <c r="H288" s="75">
        <v>1</v>
      </c>
      <c r="I288" s="76">
        <v>3421</v>
      </c>
      <c r="J288" s="75" t="s">
        <v>269</v>
      </c>
      <c r="K288" s="77">
        <v>7</v>
      </c>
      <c r="L288" s="78" t="s">
        <v>271</v>
      </c>
      <c r="M288" s="75" t="s">
        <v>515</v>
      </c>
      <c r="N288" s="82">
        <v>4789.3999999999996</v>
      </c>
    </row>
    <row r="289" spans="2:14" x14ac:dyDescent="0.25">
      <c r="B289" s="74" t="s">
        <v>555</v>
      </c>
      <c r="C289" s="75">
        <v>50376299</v>
      </c>
      <c r="D289" s="75" t="s">
        <v>254</v>
      </c>
      <c r="E289" s="75">
        <v>46</v>
      </c>
      <c r="F289" s="75" t="s">
        <v>251</v>
      </c>
      <c r="G289" s="75" t="s">
        <v>241</v>
      </c>
      <c r="H289" s="75">
        <v>2</v>
      </c>
      <c r="I289" s="76">
        <v>7076</v>
      </c>
      <c r="J289" s="75" t="s">
        <v>262</v>
      </c>
      <c r="K289" s="77">
        <v>7</v>
      </c>
      <c r="L289" s="78" t="s">
        <v>271</v>
      </c>
      <c r="M289" s="75" t="s">
        <v>515</v>
      </c>
      <c r="N289" s="82">
        <v>9906.4</v>
      </c>
    </row>
    <row r="290" spans="2:14" x14ac:dyDescent="0.25">
      <c r="B290" s="74" t="s">
        <v>556</v>
      </c>
      <c r="C290" s="75">
        <v>34081613</v>
      </c>
      <c r="D290" s="75" t="s">
        <v>239</v>
      </c>
      <c r="E290" s="75">
        <v>39</v>
      </c>
      <c r="F290" s="75" t="s">
        <v>240</v>
      </c>
      <c r="G290" s="75" t="s">
        <v>241</v>
      </c>
      <c r="H290" s="75">
        <v>3</v>
      </c>
      <c r="I290" s="76">
        <v>7323</v>
      </c>
      <c r="J290" s="75" t="s">
        <v>256</v>
      </c>
      <c r="K290" s="77">
        <v>7</v>
      </c>
      <c r="L290" s="78" t="s">
        <v>263</v>
      </c>
      <c r="M290" s="75" t="s">
        <v>515</v>
      </c>
      <c r="N290" s="82">
        <v>10252.200000000001</v>
      </c>
    </row>
    <row r="291" spans="2:14" x14ac:dyDescent="0.25">
      <c r="B291" s="74" t="s">
        <v>557</v>
      </c>
      <c r="C291" s="75">
        <v>49937614</v>
      </c>
      <c r="D291" s="75" t="s">
        <v>254</v>
      </c>
      <c r="E291" s="75">
        <v>43</v>
      </c>
      <c r="F291" s="75" t="s">
        <v>251</v>
      </c>
      <c r="G291" s="75" t="s">
        <v>258</v>
      </c>
      <c r="H291" s="75">
        <v>4</v>
      </c>
      <c r="I291" s="76">
        <v>2915</v>
      </c>
      <c r="J291" s="75" t="s">
        <v>269</v>
      </c>
      <c r="K291" s="77">
        <v>7</v>
      </c>
      <c r="L291" s="78" t="s">
        <v>203</v>
      </c>
      <c r="M291" s="75" t="s">
        <v>515</v>
      </c>
      <c r="N291" s="82">
        <v>4081</v>
      </c>
    </row>
    <row r="292" spans="2:14" x14ac:dyDescent="0.25">
      <c r="B292" s="74" t="s">
        <v>558</v>
      </c>
      <c r="C292" s="75">
        <v>52800717</v>
      </c>
      <c r="D292" s="75" t="s">
        <v>239</v>
      </c>
      <c r="E292" s="75">
        <v>41</v>
      </c>
      <c r="F292" s="75" t="s">
        <v>240</v>
      </c>
      <c r="G292" s="75" t="s">
        <v>258</v>
      </c>
      <c r="H292" s="75">
        <v>3</v>
      </c>
      <c r="I292" s="76">
        <v>6496</v>
      </c>
      <c r="J292" s="75" t="s">
        <v>256</v>
      </c>
      <c r="K292" s="77">
        <v>7</v>
      </c>
      <c r="L292" s="78" t="s">
        <v>213</v>
      </c>
      <c r="M292" s="75" t="s">
        <v>515</v>
      </c>
      <c r="N292" s="82">
        <v>9094.4000000000015</v>
      </c>
    </row>
    <row r="293" spans="2:14" x14ac:dyDescent="0.25">
      <c r="B293" s="74" t="s">
        <v>559</v>
      </c>
      <c r="C293" s="75">
        <v>30692652</v>
      </c>
      <c r="D293" s="75" t="s">
        <v>254</v>
      </c>
      <c r="E293" s="75">
        <v>27</v>
      </c>
      <c r="F293" s="75" t="s">
        <v>251</v>
      </c>
      <c r="G293" s="75" t="s">
        <v>241</v>
      </c>
      <c r="H293" s="75">
        <v>0</v>
      </c>
      <c r="I293" s="76">
        <v>8153</v>
      </c>
      <c r="J293" s="75" t="s">
        <v>262</v>
      </c>
      <c r="K293" s="77">
        <v>7</v>
      </c>
      <c r="L293" s="78" t="s">
        <v>271</v>
      </c>
      <c r="M293" s="75" t="s">
        <v>515</v>
      </c>
      <c r="N293" s="82">
        <v>11414.2</v>
      </c>
    </row>
    <row r="294" spans="2:14" x14ac:dyDescent="0.25">
      <c r="B294" s="74" t="s">
        <v>560</v>
      </c>
      <c r="C294" s="75">
        <v>30910283</v>
      </c>
      <c r="D294" s="75" t="s">
        <v>254</v>
      </c>
      <c r="E294" s="75">
        <v>39</v>
      </c>
      <c r="F294" s="75" t="s">
        <v>240</v>
      </c>
      <c r="G294" s="75" t="s">
        <v>258</v>
      </c>
      <c r="H294" s="75">
        <v>3</v>
      </c>
      <c r="I294" s="76">
        <v>6480</v>
      </c>
      <c r="J294" s="75" t="s">
        <v>269</v>
      </c>
      <c r="K294" s="77">
        <v>7</v>
      </c>
      <c r="L294" s="78" t="s">
        <v>279</v>
      </c>
      <c r="M294" s="75" t="s">
        <v>515</v>
      </c>
      <c r="N294" s="82">
        <v>9072</v>
      </c>
    </row>
    <row r="295" spans="2:14" x14ac:dyDescent="0.25">
      <c r="B295" s="74" t="s">
        <v>561</v>
      </c>
      <c r="C295" s="75">
        <v>38880853</v>
      </c>
      <c r="D295" s="75" t="s">
        <v>239</v>
      </c>
      <c r="E295" s="75">
        <v>38</v>
      </c>
      <c r="F295" s="75" t="s">
        <v>240</v>
      </c>
      <c r="G295" s="75" t="s">
        <v>258</v>
      </c>
      <c r="H295" s="75">
        <v>1</v>
      </c>
      <c r="I295" s="76">
        <v>5337</v>
      </c>
      <c r="J295" s="75" t="s">
        <v>269</v>
      </c>
      <c r="K295" s="77">
        <v>7</v>
      </c>
      <c r="L295" s="78" t="s">
        <v>271</v>
      </c>
      <c r="M295" s="75" t="s">
        <v>515</v>
      </c>
      <c r="N295" s="82">
        <v>7471.7999999999993</v>
      </c>
    </row>
    <row r="296" spans="2:14" x14ac:dyDescent="0.25">
      <c r="B296" s="74" t="s">
        <v>562</v>
      </c>
      <c r="C296" s="75">
        <v>34430893</v>
      </c>
      <c r="D296" s="75" t="s">
        <v>254</v>
      </c>
      <c r="E296" s="75">
        <v>64</v>
      </c>
      <c r="F296" s="75" t="s">
        <v>255</v>
      </c>
      <c r="G296" s="75" t="s">
        <v>258</v>
      </c>
      <c r="H296" s="75">
        <v>1</v>
      </c>
      <c r="I296" s="76">
        <v>3400</v>
      </c>
      <c r="J296" s="75" t="s">
        <v>256</v>
      </c>
      <c r="K296" s="77">
        <v>6</v>
      </c>
      <c r="L296" s="78" t="s">
        <v>210</v>
      </c>
      <c r="M296" s="75" t="s">
        <v>515</v>
      </c>
      <c r="N296" s="82">
        <v>4080</v>
      </c>
    </row>
    <row r="297" spans="2:14" x14ac:dyDescent="0.25">
      <c r="B297" s="74" t="s">
        <v>563</v>
      </c>
      <c r="C297" s="75">
        <v>69725817</v>
      </c>
      <c r="D297" s="75" t="s">
        <v>239</v>
      </c>
      <c r="E297" s="75">
        <v>50</v>
      </c>
      <c r="F297" s="75" t="s">
        <v>240</v>
      </c>
      <c r="G297" s="75" t="s">
        <v>258</v>
      </c>
      <c r="H297" s="75">
        <v>0</v>
      </c>
      <c r="I297" s="76">
        <v>8945</v>
      </c>
      <c r="J297" s="75" t="s">
        <v>269</v>
      </c>
      <c r="K297" s="77">
        <v>6</v>
      </c>
      <c r="L297" s="78" t="s">
        <v>271</v>
      </c>
      <c r="M297" s="75" t="s">
        <v>515</v>
      </c>
      <c r="N297" s="82">
        <v>10734</v>
      </c>
    </row>
    <row r="298" spans="2:14" x14ac:dyDescent="0.25">
      <c r="B298" s="74" t="s">
        <v>564</v>
      </c>
      <c r="C298" s="75">
        <v>52482817</v>
      </c>
      <c r="D298" s="75" t="s">
        <v>254</v>
      </c>
      <c r="E298" s="75">
        <v>26</v>
      </c>
      <c r="F298" s="75" t="s">
        <v>255</v>
      </c>
      <c r="G298" s="75" t="s">
        <v>247</v>
      </c>
      <c r="H298" s="75">
        <v>2</v>
      </c>
      <c r="I298" s="76">
        <v>4091</v>
      </c>
      <c r="J298" s="75" t="s">
        <v>248</v>
      </c>
      <c r="K298" s="77">
        <v>6</v>
      </c>
      <c r="L298" s="78" t="s">
        <v>213</v>
      </c>
      <c r="M298" s="75" t="s">
        <v>515</v>
      </c>
      <c r="N298" s="82">
        <v>4909.2</v>
      </c>
    </row>
    <row r="299" spans="2:14" x14ac:dyDescent="0.25">
      <c r="B299" s="74" t="s">
        <v>565</v>
      </c>
      <c r="C299" s="75">
        <v>67514202</v>
      </c>
      <c r="D299" s="75" t="s">
        <v>239</v>
      </c>
      <c r="E299" s="75">
        <v>30</v>
      </c>
      <c r="F299" s="75" t="s">
        <v>246</v>
      </c>
      <c r="G299" s="75" t="s">
        <v>258</v>
      </c>
      <c r="H299" s="75">
        <v>1</v>
      </c>
      <c r="I299" s="76">
        <v>9713</v>
      </c>
      <c r="J299" s="75" t="s">
        <v>248</v>
      </c>
      <c r="K299" s="77">
        <v>6</v>
      </c>
      <c r="L299" s="78" t="s">
        <v>213</v>
      </c>
      <c r="M299" s="75" t="s">
        <v>515</v>
      </c>
      <c r="N299" s="82">
        <v>11655.599999999999</v>
      </c>
    </row>
    <row r="300" spans="2:14" x14ac:dyDescent="0.25">
      <c r="B300" s="74" t="s">
        <v>566</v>
      </c>
      <c r="C300" s="75">
        <v>24479853</v>
      </c>
      <c r="D300" s="75" t="s">
        <v>239</v>
      </c>
      <c r="E300" s="75">
        <v>27</v>
      </c>
      <c r="F300" s="75" t="s">
        <v>240</v>
      </c>
      <c r="G300" s="75" t="s">
        <v>258</v>
      </c>
      <c r="H300" s="75">
        <v>1</v>
      </c>
      <c r="I300" s="76">
        <v>2405</v>
      </c>
      <c r="J300" s="75" t="s">
        <v>262</v>
      </c>
      <c r="K300" s="77">
        <v>6</v>
      </c>
      <c r="L300" s="78" t="s">
        <v>212</v>
      </c>
      <c r="M300" s="75" t="s">
        <v>515</v>
      </c>
      <c r="N300" s="82">
        <v>2886</v>
      </c>
    </row>
    <row r="301" spans="2:14" x14ac:dyDescent="0.25">
      <c r="B301" s="74" t="s">
        <v>567</v>
      </c>
      <c r="C301" s="75">
        <v>41895230</v>
      </c>
      <c r="D301" s="75" t="s">
        <v>254</v>
      </c>
      <c r="E301" s="75">
        <v>33</v>
      </c>
      <c r="F301" s="75" t="s">
        <v>246</v>
      </c>
      <c r="G301" s="75" t="s">
        <v>252</v>
      </c>
      <c r="H301" s="75">
        <v>4</v>
      </c>
      <c r="I301" s="76">
        <v>7078</v>
      </c>
      <c r="J301" s="75" t="s">
        <v>269</v>
      </c>
      <c r="K301" s="77">
        <v>6</v>
      </c>
      <c r="L301" s="78" t="s">
        <v>209</v>
      </c>
      <c r="M301" s="75" t="s">
        <v>515</v>
      </c>
      <c r="N301" s="82">
        <v>8493.6</v>
      </c>
    </row>
    <row r="302" spans="2:14" x14ac:dyDescent="0.25">
      <c r="B302" s="74" t="s">
        <v>568</v>
      </c>
      <c r="C302" s="75">
        <v>48976931</v>
      </c>
      <c r="D302" s="75" t="s">
        <v>239</v>
      </c>
      <c r="E302" s="75">
        <v>27</v>
      </c>
      <c r="F302" s="75" t="s">
        <v>255</v>
      </c>
      <c r="G302" s="75" t="s">
        <v>241</v>
      </c>
      <c r="H302" s="75">
        <v>3</v>
      </c>
      <c r="I302" s="76">
        <v>9069</v>
      </c>
      <c r="J302" s="75" t="s">
        <v>242</v>
      </c>
      <c r="K302" s="77">
        <v>6</v>
      </c>
      <c r="L302" s="78" t="s">
        <v>213</v>
      </c>
      <c r="M302" s="75" t="s">
        <v>515</v>
      </c>
      <c r="N302" s="82">
        <v>10882.8</v>
      </c>
    </row>
    <row r="303" spans="2:14" x14ac:dyDescent="0.25">
      <c r="B303" s="74" t="s">
        <v>569</v>
      </c>
      <c r="C303" s="75">
        <v>66152620</v>
      </c>
      <c r="D303" s="75" t="s">
        <v>239</v>
      </c>
      <c r="E303" s="75">
        <v>58</v>
      </c>
      <c r="F303" s="75" t="s">
        <v>251</v>
      </c>
      <c r="G303" s="75" t="s">
        <v>252</v>
      </c>
      <c r="H303" s="75">
        <v>1</v>
      </c>
      <c r="I303" s="76">
        <v>7544</v>
      </c>
      <c r="J303" s="75" t="s">
        <v>256</v>
      </c>
      <c r="K303" s="77">
        <v>6</v>
      </c>
      <c r="L303" s="78" t="s">
        <v>215</v>
      </c>
      <c r="M303" s="75" t="s">
        <v>515</v>
      </c>
      <c r="N303" s="82">
        <v>9052.7999999999993</v>
      </c>
    </row>
    <row r="304" spans="2:14" x14ac:dyDescent="0.25">
      <c r="B304" s="74" t="s">
        <v>570</v>
      </c>
      <c r="C304" s="79">
        <v>41923673</v>
      </c>
      <c r="D304" s="75" t="s">
        <v>254</v>
      </c>
      <c r="E304" s="75">
        <v>39</v>
      </c>
      <c r="F304" s="75" t="s">
        <v>251</v>
      </c>
      <c r="G304" s="75" t="s">
        <v>252</v>
      </c>
      <c r="H304" s="75">
        <v>3</v>
      </c>
      <c r="I304" s="76">
        <v>5905</v>
      </c>
      <c r="J304" s="75" t="s">
        <v>262</v>
      </c>
      <c r="K304" s="77">
        <v>5</v>
      </c>
      <c r="L304" s="78" t="s">
        <v>279</v>
      </c>
      <c r="M304" s="75" t="s">
        <v>515</v>
      </c>
      <c r="N304" s="82">
        <v>5905</v>
      </c>
    </row>
    <row r="305" spans="2:14" x14ac:dyDescent="0.25">
      <c r="B305" s="74" t="s">
        <v>571</v>
      </c>
      <c r="C305" s="75">
        <v>53814411</v>
      </c>
      <c r="D305" s="75" t="s">
        <v>254</v>
      </c>
      <c r="E305" s="75">
        <v>29</v>
      </c>
      <c r="F305" s="75" t="s">
        <v>255</v>
      </c>
      <c r="G305" s="75" t="s">
        <v>252</v>
      </c>
      <c r="H305" s="75">
        <v>1</v>
      </c>
      <c r="I305" s="76">
        <v>2558</v>
      </c>
      <c r="J305" s="75" t="s">
        <v>262</v>
      </c>
      <c r="K305" s="77">
        <v>5</v>
      </c>
      <c r="L305" s="78" t="s">
        <v>203</v>
      </c>
      <c r="M305" s="75" t="s">
        <v>515</v>
      </c>
      <c r="N305" s="82">
        <v>2558</v>
      </c>
    </row>
    <row r="306" spans="2:14" x14ac:dyDescent="0.25">
      <c r="B306" s="74" t="s">
        <v>572</v>
      </c>
      <c r="C306" s="75">
        <v>24934060</v>
      </c>
      <c r="D306" s="75" t="s">
        <v>254</v>
      </c>
      <c r="E306" s="75">
        <v>25</v>
      </c>
      <c r="F306" s="75" t="s">
        <v>240</v>
      </c>
      <c r="G306" s="75" t="s">
        <v>252</v>
      </c>
      <c r="H306" s="75">
        <v>1</v>
      </c>
      <c r="I306" s="76">
        <v>4828</v>
      </c>
      <c r="J306" s="75" t="s">
        <v>242</v>
      </c>
      <c r="K306" s="77">
        <v>5</v>
      </c>
      <c r="L306" s="78" t="s">
        <v>209</v>
      </c>
      <c r="M306" s="75" t="s">
        <v>515</v>
      </c>
      <c r="N306" s="82">
        <v>4828</v>
      </c>
    </row>
    <row r="307" spans="2:14" x14ac:dyDescent="0.25">
      <c r="B307" s="74" t="s">
        <v>573</v>
      </c>
      <c r="C307" s="75">
        <v>68869388</v>
      </c>
      <c r="D307" s="75" t="s">
        <v>254</v>
      </c>
      <c r="E307" s="75">
        <v>20</v>
      </c>
      <c r="F307" s="75" t="s">
        <v>251</v>
      </c>
      <c r="G307" s="75" t="s">
        <v>247</v>
      </c>
      <c r="H307" s="75">
        <v>1</v>
      </c>
      <c r="I307" s="76">
        <v>6572</v>
      </c>
      <c r="J307" s="75" t="s">
        <v>242</v>
      </c>
      <c r="K307" s="77">
        <v>5</v>
      </c>
      <c r="L307" s="78" t="s">
        <v>263</v>
      </c>
      <c r="M307" s="75" t="s">
        <v>515</v>
      </c>
      <c r="N307" s="82">
        <v>6572</v>
      </c>
    </row>
    <row r="308" spans="2:14" x14ac:dyDescent="0.25">
      <c r="B308" s="74" t="s">
        <v>574</v>
      </c>
      <c r="C308" s="75">
        <v>22496517</v>
      </c>
      <c r="D308" s="75" t="s">
        <v>254</v>
      </c>
      <c r="E308" s="75">
        <v>56</v>
      </c>
      <c r="F308" s="75" t="s">
        <v>255</v>
      </c>
      <c r="G308" s="75" t="s">
        <v>247</v>
      </c>
      <c r="H308" s="75">
        <v>3</v>
      </c>
      <c r="I308" s="76">
        <v>5757</v>
      </c>
      <c r="J308" s="75" t="s">
        <v>256</v>
      </c>
      <c r="K308" s="77">
        <v>5</v>
      </c>
      <c r="L308" s="78" t="s">
        <v>193</v>
      </c>
      <c r="M308" s="75" t="s">
        <v>515</v>
      </c>
      <c r="N308" s="82">
        <v>5757</v>
      </c>
    </row>
    <row r="309" spans="2:14" x14ac:dyDescent="0.25">
      <c r="B309" s="74" t="s">
        <v>575</v>
      </c>
      <c r="C309" s="75">
        <v>23370683</v>
      </c>
      <c r="D309" s="75" t="s">
        <v>254</v>
      </c>
      <c r="E309" s="75">
        <v>42</v>
      </c>
      <c r="F309" s="75" t="s">
        <v>246</v>
      </c>
      <c r="G309" s="75" t="s">
        <v>258</v>
      </c>
      <c r="H309" s="75">
        <v>4</v>
      </c>
      <c r="I309" s="76">
        <v>8555</v>
      </c>
      <c r="J309" s="75" t="s">
        <v>242</v>
      </c>
      <c r="K309" s="77">
        <v>5</v>
      </c>
      <c r="L309" s="78" t="s">
        <v>210</v>
      </c>
      <c r="M309" s="75" t="s">
        <v>515</v>
      </c>
      <c r="N309" s="82">
        <v>8555</v>
      </c>
    </row>
    <row r="310" spans="2:14" x14ac:dyDescent="0.25">
      <c r="B310" s="74" t="s">
        <v>576</v>
      </c>
      <c r="C310" s="75">
        <v>50149614</v>
      </c>
      <c r="D310" s="75" t="s">
        <v>239</v>
      </c>
      <c r="E310" s="75">
        <v>56</v>
      </c>
      <c r="F310" s="75" t="s">
        <v>240</v>
      </c>
      <c r="G310" s="75" t="s">
        <v>252</v>
      </c>
      <c r="H310" s="75">
        <v>0</v>
      </c>
      <c r="I310" s="76">
        <v>2070</v>
      </c>
      <c r="J310" s="75" t="s">
        <v>262</v>
      </c>
      <c r="K310" s="77">
        <v>5</v>
      </c>
      <c r="L310" s="78" t="s">
        <v>203</v>
      </c>
      <c r="M310" s="75" t="s">
        <v>515</v>
      </c>
      <c r="N310" s="82">
        <v>2070</v>
      </c>
    </row>
    <row r="311" spans="2:14" x14ac:dyDescent="0.25">
      <c r="B311" s="74" t="s">
        <v>577</v>
      </c>
      <c r="C311" s="75">
        <v>49112135</v>
      </c>
      <c r="D311" s="75" t="s">
        <v>254</v>
      </c>
      <c r="E311" s="75">
        <v>22</v>
      </c>
      <c r="F311" s="75" t="s">
        <v>240</v>
      </c>
      <c r="G311" s="75" t="s">
        <v>258</v>
      </c>
      <c r="H311" s="75">
        <v>1</v>
      </c>
      <c r="I311" s="76">
        <v>3626</v>
      </c>
      <c r="J311" s="75" t="s">
        <v>242</v>
      </c>
      <c r="K311" s="77">
        <v>5</v>
      </c>
      <c r="L311" s="78" t="s">
        <v>193</v>
      </c>
      <c r="M311" s="75" t="s">
        <v>515</v>
      </c>
      <c r="N311" s="82">
        <v>3626</v>
      </c>
    </row>
    <row r="312" spans="2:14" x14ac:dyDescent="0.25">
      <c r="B312" s="74" t="s">
        <v>578</v>
      </c>
      <c r="C312" s="75">
        <v>33115811</v>
      </c>
      <c r="D312" s="75" t="s">
        <v>239</v>
      </c>
      <c r="E312" s="75">
        <v>46</v>
      </c>
      <c r="F312" s="75" t="s">
        <v>251</v>
      </c>
      <c r="G312" s="75" t="s">
        <v>252</v>
      </c>
      <c r="H312" s="75">
        <v>0</v>
      </c>
      <c r="I312" s="76">
        <v>8038</v>
      </c>
      <c r="J312" s="75" t="s">
        <v>262</v>
      </c>
      <c r="K312" s="77">
        <v>5</v>
      </c>
      <c r="L312" s="78" t="s">
        <v>243</v>
      </c>
      <c r="M312" s="75" t="s">
        <v>515</v>
      </c>
      <c r="N312" s="82">
        <v>8038</v>
      </c>
    </row>
    <row r="313" spans="2:14" x14ac:dyDescent="0.25">
      <c r="B313" s="74" t="s">
        <v>579</v>
      </c>
      <c r="C313" s="75">
        <v>46765557</v>
      </c>
      <c r="D313" s="75" t="s">
        <v>239</v>
      </c>
      <c r="E313" s="75">
        <v>33</v>
      </c>
      <c r="F313" s="75" t="s">
        <v>246</v>
      </c>
      <c r="G313" s="75" t="s">
        <v>258</v>
      </c>
      <c r="H313" s="75">
        <v>2</v>
      </c>
      <c r="I313" s="76">
        <v>2078</v>
      </c>
      <c r="J313" s="75" t="s">
        <v>262</v>
      </c>
      <c r="K313" s="77">
        <v>4</v>
      </c>
      <c r="L313" s="78" t="s">
        <v>193</v>
      </c>
      <c r="M313" s="75" t="s">
        <v>515</v>
      </c>
      <c r="N313" s="82">
        <v>1662.4</v>
      </c>
    </row>
    <row r="314" spans="2:14" x14ac:dyDescent="0.25">
      <c r="B314" s="74" t="s">
        <v>580</v>
      </c>
      <c r="C314" s="75">
        <v>37430250</v>
      </c>
      <c r="D314" s="75" t="s">
        <v>239</v>
      </c>
      <c r="E314" s="75">
        <v>37</v>
      </c>
      <c r="F314" s="75" t="s">
        <v>255</v>
      </c>
      <c r="G314" s="75" t="s">
        <v>258</v>
      </c>
      <c r="H314" s="75">
        <v>1</v>
      </c>
      <c r="I314" s="76">
        <v>4155</v>
      </c>
      <c r="J314" s="75" t="s">
        <v>242</v>
      </c>
      <c r="K314" s="77">
        <v>4</v>
      </c>
      <c r="L314" s="78" t="s">
        <v>193</v>
      </c>
      <c r="M314" s="75" t="s">
        <v>515</v>
      </c>
      <c r="N314" s="82">
        <v>3324</v>
      </c>
    </row>
    <row r="315" spans="2:14" x14ac:dyDescent="0.25">
      <c r="B315" s="74" t="s">
        <v>581</v>
      </c>
      <c r="C315" s="75">
        <v>44980068</v>
      </c>
      <c r="D315" s="75" t="s">
        <v>239</v>
      </c>
      <c r="E315" s="75">
        <v>44</v>
      </c>
      <c r="F315" s="75" t="s">
        <v>246</v>
      </c>
      <c r="G315" s="75" t="s">
        <v>258</v>
      </c>
      <c r="H315" s="75">
        <v>0</v>
      </c>
      <c r="I315" s="76">
        <v>2918</v>
      </c>
      <c r="J315" s="75" t="s">
        <v>262</v>
      </c>
      <c r="K315" s="77">
        <v>4</v>
      </c>
      <c r="L315" s="78" t="s">
        <v>243</v>
      </c>
      <c r="M315" s="75" t="s">
        <v>515</v>
      </c>
      <c r="N315" s="82">
        <v>2334.4</v>
      </c>
    </row>
    <row r="316" spans="2:14" x14ac:dyDescent="0.25">
      <c r="B316" s="74" t="s">
        <v>582</v>
      </c>
      <c r="C316" s="75">
        <v>35284522</v>
      </c>
      <c r="D316" s="75" t="s">
        <v>239</v>
      </c>
      <c r="E316" s="75">
        <v>60</v>
      </c>
      <c r="F316" s="75" t="s">
        <v>251</v>
      </c>
      <c r="G316" s="75" t="s">
        <v>252</v>
      </c>
      <c r="H316" s="75">
        <v>0</v>
      </c>
      <c r="I316" s="76">
        <v>7296</v>
      </c>
      <c r="J316" s="75" t="s">
        <v>248</v>
      </c>
      <c r="K316" s="77">
        <v>4</v>
      </c>
      <c r="L316" s="78" t="s">
        <v>215</v>
      </c>
      <c r="M316" s="75" t="s">
        <v>515</v>
      </c>
      <c r="N316" s="82">
        <v>5836.7999999999993</v>
      </c>
    </row>
    <row r="317" spans="2:14" x14ac:dyDescent="0.25">
      <c r="B317" s="74" t="s">
        <v>583</v>
      </c>
      <c r="C317" s="75">
        <v>21983468</v>
      </c>
      <c r="D317" s="75" t="s">
        <v>254</v>
      </c>
      <c r="E317" s="75">
        <v>63</v>
      </c>
      <c r="F317" s="75" t="s">
        <v>255</v>
      </c>
      <c r="G317" s="75" t="s">
        <v>258</v>
      </c>
      <c r="H317" s="75">
        <v>2</v>
      </c>
      <c r="I317" s="76">
        <v>7955</v>
      </c>
      <c r="J317" s="75" t="s">
        <v>242</v>
      </c>
      <c r="K317" s="77">
        <v>4</v>
      </c>
      <c r="L317" s="78" t="s">
        <v>212</v>
      </c>
      <c r="M317" s="75" t="s">
        <v>515</v>
      </c>
      <c r="N317" s="82">
        <v>6364</v>
      </c>
    </row>
    <row r="318" spans="2:14" x14ac:dyDescent="0.25">
      <c r="B318" s="74" t="s">
        <v>584</v>
      </c>
      <c r="C318" s="75">
        <v>51390795</v>
      </c>
      <c r="D318" s="75" t="s">
        <v>254</v>
      </c>
      <c r="E318" s="75">
        <v>32</v>
      </c>
      <c r="F318" s="75" t="s">
        <v>251</v>
      </c>
      <c r="G318" s="75" t="s">
        <v>258</v>
      </c>
      <c r="H318" s="75">
        <v>2</v>
      </c>
      <c r="I318" s="76">
        <v>4362</v>
      </c>
      <c r="J318" s="75" t="s">
        <v>269</v>
      </c>
      <c r="K318" s="77">
        <v>4</v>
      </c>
      <c r="L318" s="78" t="s">
        <v>243</v>
      </c>
      <c r="M318" s="75" t="s">
        <v>515</v>
      </c>
      <c r="N318" s="82">
        <v>3489.6</v>
      </c>
    </row>
    <row r="319" spans="2:14" x14ac:dyDescent="0.25">
      <c r="B319" s="74" t="s">
        <v>585</v>
      </c>
      <c r="C319" s="75">
        <v>45342063</v>
      </c>
      <c r="D319" s="75" t="s">
        <v>239</v>
      </c>
      <c r="E319" s="75">
        <v>54</v>
      </c>
      <c r="F319" s="75" t="s">
        <v>251</v>
      </c>
      <c r="G319" s="75" t="s">
        <v>241</v>
      </c>
      <c r="H319" s="75">
        <v>0</v>
      </c>
      <c r="I319" s="76">
        <v>9599</v>
      </c>
      <c r="J319" s="75" t="s">
        <v>269</v>
      </c>
      <c r="K319" s="77">
        <v>4</v>
      </c>
      <c r="L319" s="78" t="s">
        <v>193</v>
      </c>
      <c r="M319" s="75" t="s">
        <v>515</v>
      </c>
      <c r="N319" s="82">
        <v>7679.2</v>
      </c>
    </row>
    <row r="320" spans="2:14" x14ac:dyDescent="0.25">
      <c r="B320" s="74" t="s">
        <v>586</v>
      </c>
      <c r="C320" s="75">
        <v>46574318</v>
      </c>
      <c r="D320" s="75" t="s">
        <v>239</v>
      </c>
      <c r="E320" s="75">
        <v>61</v>
      </c>
      <c r="F320" s="75" t="s">
        <v>255</v>
      </c>
      <c r="G320" s="75" t="s">
        <v>241</v>
      </c>
      <c r="H320" s="75">
        <v>2</v>
      </c>
      <c r="I320" s="76">
        <v>7430</v>
      </c>
      <c r="J320" s="75" t="s">
        <v>269</v>
      </c>
      <c r="K320" s="77">
        <v>3</v>
      </c>
      <c r="L320" s="78" t="s">
        <v>203</v>
      </c>
      <c r="M320" s="75" t="s">
        <v>515</v>
      </c>
      <c r="N320" s="82">
        <v>4458</v>
      </c>
    </row>
    <row r="321" spans="2:14" x14ac:dyDescent="0.25">
      <c r="B321" s="74" t="s">
        <v>587</v>
      </c>
      <c r="C321" s="75">
        <v>62691870</v>
      </c>
      <c r="D321" s="75" t="s">
        <v>254</v>
      </c>
      <c r="E321" s="75">
        <v>41</v>
      </c>
      <c r="F321" s="75" t="s">
        <v>255</v>
      </c>
      <c r="G321" s="75" t="s">
        <v>258</v>
      </c>
      <c r="H321" s="75">
        <v>2</v>
      </c>
      <c r="I321" s="76">
        <v>6583</v>
      </c>
      <c r="J321" s="75" t="s">
        <v>256</v>
      </c>
      <c r="K321" s="77">
        <v>3</v>
      </c>
      <c r="L321" s="78" t="s">
        <v>214</v>
      </c>
      <c r="M321" s="75" t="s">
        <v>515</v>
      </c>
      <c r="N321" s="82">
        <v>3949.8</v>
      </c>
    </row>
    <row r="322" spans="2:14" x14ac:dyDescent="0.25">
      <c r="B322" s="74" t="s">
        <v>588</v>
      </c>
      <c r="C322" s="75">
        <v>26329991</v>
      </c>
      <c r="D322" s="75" t="s">
        <v>254</v>
      </c>
      <c r="E322" s="75">
        <v>45</v>
      </c>
      <c r="F322" s="75" t="s">
        <v>246</v>
      </c>
      <c r="G322" s="75" t="s">
        <v>241</v>
      </c>
      <c r="H322" s="75">
        <v>2</v>
      </c>
      <c r="I322" s="76">
        <v>9191</v>
      </c>
      <c r="J322" s="75" t="s">
        <v>262</v>
      </c>
      <c r="K322" s="77">
        <v>3</v>
      </c>
      <c r="L322" s="78" t="s">
        <v>213</v>
      </c>
      <c r="M322" s="75" t="s">
        <v>515</v>
      </c>
      <c r="N322" s="82">
        <v>5514.6</v>
      </c>
    </row>
    <row r="323" spans="2:14" x14ac:dyDescent="0.25">
      <c r="B323" s="74" t="s">
        <v>589</v>
      </c>
      <c r="C323" s="75">
        <v>48796389</v>
      </c>
      <c r="D323" s="75" t="s">
        <v>254</v>
      </c>
      <c r="E323" s="75">
        <v>33</v>
      </c>
      <c r="F323" s="75" t="s">
        <v>246</v>
      </c>
      <c r="G323" s="75" t="s">
        <v>241</v>
      </c>
      <c r="H323" s="75">
        <v>1</v>
      </c>
      <c r="I323" s="76">
        <v>7196</v>
      </c>
      <c r="J323" s="75" t="s">
        <v>248</v>
      </c>
      <c r="K323" s="77">
        <v>3</v>
      </c>
      <c r="L323" s="78" t="s">
        <v>271</v>
      </c>
      <c r="M323" s="75" t="s">
        <v>515</v>
      </c>
      <c r="N323" s="82">
        <v>4317.6000000000004</v>
      </c>
    </row>
    <row r="324" spans="2:14" x14ac:dyDescent="0.25">
      <c r="B324" s="74" t="s">
        <v>590</v>
      </c>
      <c r="C324" s="75">
        <v>59792113</v>
      </c>
      <c r="D324" s="75" t="s">
        <v>254</v>
      </c>
      <c r="E324" s="75">
        <v>48</v>
      </c>
      <c r="F324" s="75" t="s">
        <v>246</v>
      </c>
      <c r="G324" s="75" t="s">
        <v>247</v>
      </c>
      <c r="H324" s="75">
        <v>0</v>
      </c>
      <c r="I324" s="76">
        <v>8801</v>
      </c>
      <c r="J324" s="75" t="s">
        <v>262</v>
      </c>
      <c r="K324" s="77">
        <v>3</v>
      </c>
      <c r="L324" s="78" t="s">
        <v>213</v>
      </c>
      <c r="M324" s="75" t="s">
        <v>515</v>
      </c>
      <c r="N324" s="82">
        <v>5280.5999999999995</v>
      </c>
    </row>
    <row r="325" spans="2:14" x14ac:dyDescent="0.25">
      <c r="B325" s="74" t="s">
        <v>591</v>
      </c>
      <c r="C325" s="75">
        <v>24812308</v>
      </c>
      <c r="D325" s="75" t="s">
        <v>239</v>
      </c>
      <c r="E325" s="75">
        <v>32</v>
      </c>
      <c r="F325" s="75" t="s">
        <v>246</v>
      </c>
      <c r="G325" s="75" t="s">
        <v>252</v>
      </c>
      <c r="H325" s="75">
        <v>1</v>
      </c>
      <c r="I325" s="76">
        <v>7688</v>
      </c>
      <c r="J325" s="75" t="s">
        <v>256</v>
      </c>
      <c r="K325" s="77">
        <v>3</v>
      </c>
      <c r="L325" s="78" t="s">
        <v>203</v>
      </c>
      <c r="M325" s="75" t="s">
        <v>515</v>
      </c>
      <c r="N325" s="82">
        <v>4612.7999999999993</v>
      </c>
    </row>
    <row r="326" spans="2:14" x14ac:dyDescent="0.25">
      <c r="B326" s="74" t="s">
        <v>592</v>
      </c>
      <c r="C326" s="75">
        <v>46006624</v>
      </c>
      <c r="D326" s="75" t="s">
        <v>254</v>
      </c>
      <c r="E326" s="75">
        <v>20</v>
      </c>
      <c r="F326" s="75" t="s">
        <v>246</v>
      </c>
      <c r="G326" s="75" t="s">
        <v>241</v>
      </c>
      <c r="H326" s="75">
        <v>0</v>
      </c>
      <c r="I326" s="76">
        <v>5683</v>
      </c>
      <c r="J326" s="75" t="s">
        <v>262</v>
      </c>
      <c r="K326" s="77">
        <v>3</v>
      </c>
      <c r="L326" s="78" t="s">
        <v>263</v>
      </c>
      <c r="M326" s="75" t="s">
        <v>515</v>
      </c>
      <c r="N326" s="82">
        <v>3409.8</v>
      </c>
    </row>
    <row r="327" spans="2:14" x14ac:dyDescent="0.25">
      <c r="B327" s="74" t="s">
        <v>593</v>
      </c>
      <c r="C327" s="75">
        <v>50692730</v>
      </c>
      <c r="D327" s="75" t="s">
        <v>254</v>
      </c>
      <c r="E327" s="75">
        <v>46</v>
      </c>
      <c r="F327" s="75" t="s">
        <v>240</v>
      </c>
      <c r="G327" s="75" t="s">
        <v>258</v>
      </c>
      <c r="H327" s="75">
        <v>3</v>
      </c>
      <c r="I327" s="76">
        <v>7405</v>
      </c>
      <c r="J327" s="75" t="s">
        <v>256</v>
      </c>
      <c r="K327" s="77">
        <v>3</v>
      </c>
      <c r="L327" s="78" t="s">
        <v>213</v>
      </c>
      <c r="M327" s="75" t="s">
        <v>515</v>
      </c>
      <c r="N327" s="82">
        <v>4443</v>
      </c>
    </row>
    <row r="328" spans="2:14" x14ac:dyDescent="0.25">
      <c r="B328" s="74" t="s">
        <v>594</v>
      </c>
      <c r="C328" s="75">
        <v>23285309</v>
      </c>
      <c r="D328" s="75" t="s">
        <v>254</v>
      </c>
      <c r="E328" s="75">
        <v>36</v>
      </c>
      <c r="F328" s="75" t="s">
        <v>251</v>
      </c>
      <c r="G328" s="75" t="s">
        <v>247</v>
      </c>
      <c r="H328" s="75">
        <v>1</v>
      </c>
      <c r="I328" s="76">
        <v>6761</v>
      </c>
      <c r="J328" s="75" t="s">
        <v>242</v>
      </c>
      <c r="K328" s="77">
        <v>3</v>
      </c>
      <c r="L328" s="78" t="s">
        <v>212</v>
      </c>
      <c r="M328" s="75" t="s">
        <v>515</v>
      </c>
      <c r="N328" s="82">
        <v>4056.6000000000004</v>
      </c>
    </row>
    <row r="329" spans="2:14" x14ac:dyDescent="0.25">
      <c r="B329" s="74" t="s">
        <v>595</v>
      </c>
      <c r="C329" s="75">
        <v>41561366</v>
      </c>
      <c r="D329" s="75" t="s">
        <v>254</v>
      </c>
      <c r="E329" s="75">
        <v>51</v>
      </c>
      <c r="F329" s="75" t="s">
        <v>255</v>
      </c>
      <c r="G329" s="75" t="s">
        <v>252</v>
      </c>
      <c r="H329" s="75">
        <v>3</v>
      </c>
      <c r="I329" s="76">
        <v>7076</v>
      </c>
      <c r="J329" s="75" t="s">
        <v>242</v>
      </c>
      <c r="K329" s="77">
        <v>2</v>
      </c>
      <c r="L329" s="78" t="s">
        <v>263</v>
      </c>
      <c r="M329" s="75" t="s">
        <v>515</v>
      </c>
      <c r="N329" s="82">
        <v>2830.4</v>
      </c>
    </row>
    <row r="330" spans="2:14" x14ac:dyDescent="0.25">
      <c r="B330" s="74" t="s">
        <v>596</v>
      </c>
      <c r="C330" s="75">
        <v>21919774</v>
      </c>
      <c r="D330" s="75" t="s">
        <v>254</v>
      </c>
      <c r="E330" s="75">
        <v>64</v>
      </c>
      <c r="F330" s="75" t="s">
        <v>251</v>
      </c>
      <c r="G330" s="75" t="s">
        <v>258</v>
      </c>
      <c r="H330" s="75">
        <v>4</v>
      </c>
      <c r="I330" s="76">
        <v>4987</v>
      </c>
      <c r="J330" s="75" t="s">
        <v>242</v>
      </c>
      <c r="K330" s="77">
        <v>2</v>
      </c>
      <c r="L330" s="78" t="s">
        <v>212</v>
      </c>
      <c r="M330" s="75" t="s">
        <v>515</v>
      </c>
      <c r="N330" s="82">
        <v>1994.8</v>
      </c>
    </row>
    <row r="331" spans="2:14" x14ac:dyDescent="0.25">
      <c r="B331" s="74" t="s">
        <v>597</v>
      </c>
      <c r="C331" s="75">
        <v>23303463</v>
      </c>
      <c r="D331" s="75" t="s">
        <v>254</v>
      </c>
      <c r="E331" s="75">
        <v>32</v>
      </c>
      <c r="F331" s="75" t="s">
        <v>251</v>
      </c>
      <c r="G331" s="75" t="s">
        <v>247</v>
      </c>
      <c r="H331" s="75">
        <v>0</v>
      </c>
      <c r="I331" s="76">
        <v>4524</v>
      </c>
      <c r="J331" s="75" t="s">
        <v>242</v>
      </c>
      <c r="K331" s="77">
        <v>2</v>
      </c>
      <c r="L331" s="78" t="s">
        <v>212</v>
      </c>
      <c r="M331" s="75" t="s">
        <v>515</v>
      </c>
      <c r="N331" s="82">
        <v>1809.6000000000001</v>
      </c>
    </row>
    <row r="332" spans="2:14" x14ac:dyDescent="0.25">
      <c r="B332" s="74" t="s">
        <v>598</v>
      </c>
      <c r="C332" s="75">
        <v>35736594</v>
      </c>
      <c r="D332" s="75" t="s">
        <v>254</v>
      </c>
      <c r="E332" s="75">
        <v>55</v>
      </c>
      <c r="F332" s="75" t="s">
        <v>255</v>
      </c>
      <c r="G332" s="75" t="s">
        <v>247</v>
      </c>
      <c r="H332" s="75">
        <v>3</v>
      </c>
      <c r="I332" s="76">
        <v>3509</v>
      </c>
      <c r="J332" s="75" t="s">
        <v>269</v>
      </c>
      <c r="K332" s="77">
        <v>2</v>
      </c>
      <c r="L332" s="78" t="s">
        <v>263</v>
      </c>
      <c r="M332" s="75" t="s">
        <v>515</v>
      </c>
      <c r="N332" s="82">
        <v>1403.6000000000001</v>
      </c>
    </row>
    <row r="333" spans="2:14" x14ac:dyDescent="0.25">
      <c r="B333" s="74" t="s">
        <v>599</v>
      </c>
      <c r="C333" s="75">
        <v>40706477</v>
      </c>
      <c r="D333" s="75" t="s">
        <v>254</v>
      </c>
      <c r="E333" s="75">
        <v>30</v>
      </c>
      <c r="F333" s="75" t="s">
        <v>240</v>
      </c>
      <c r="G333" s="75" t="s">
        <v>247</v>
      </c>
      <c r="H333" s="75">
        <v>3</v>
      </c>
      <c r="I333" s="76">
        <v>7029</v>
      </c>
      <c r="J333" s="75" t="s">
        <v>269</v>
      </c>
      <c r="K333" s="77">
        <v>2</v>
      </c>
      <c r="L333" s="78" t="s">
        <v>279</v>
      </c>
      <c r="M333" s="75" t="s">
        <v>515</v>
      </c>
      <c r="N333" s="82">
        <v>2811.6000000000004</v>
      </c>
    </row>
    <row r="334" spans="2:14" x14ac:dyDescent="0.25">
      <c r="B334" s="74" t="s">
        <v>600</v>
      </c>
      <c r="C334" s="75">
        <v>57257653</v>
      </c>
      <c r="D334" s="75" t="s">
        <v>254</v>
      </c>
      <c r="E334" s="75">
        <v>57</v>
      </c>
      <c r="F334" s="75" t="s">
        <v>240</v>
      </c>
      <c r="G334" s="75" t="s">
        <v>252</v>
      </c>
      <c r="H334" s="75">
        <v>2</v>
      </c>
      <c r="I334" s="76">
        <v>2224</v>
      </c>
      <c r="J334" s="75" t="s">
        <v>248</v>
      </c>
      <c r="K334" s="77">
        <v>2</v>
      </c>
      <c r="L334" s="78" t="s">
        <v>215</v>
      </c>
      <c r="M334" s="75" t="s">
        <v>515</v>
      </c>
      <c r="N334" s="82">
        <v>889.59999999999991</v>
      </c>
    </row>
    <row r="335" spans="2:14" x14ac:dyDescent="0.25">
      <c r="B335" s="74" t="s">
        <v>601</v>
      </c>
      <c r="C335" s="75">
        <v>40700643</v>
      </c>
      <c r="D335" s="75" t="s">
        <v>254</v>
      </c>
      <c r="E335" s="75">
        <v>27</v>
      </c>
      <c r="F335" s="75" t="s">
        <v>246</v>
      </c>
      <c r="G335" s="75" t="s">
        <v>258</v>
      </c>
      <c r="H335" s="75">
        <v>2</v>
      </c>
      <c r="I335" s="76">
        <v>7305</v>
      </c>
      <c r="J335" s="75" t="s">
        <v>262</v>
      </c>
      <c r="K335" s="77">
        <v>2</v>
      </c>
      <c r="L335" s="78" t="s">
        <v>279</v>
      </c>
      <c r="M335" s="75" t="s">
        <v>515</v>
      </c>
      <c r="N335" s="82">
        <v>2922</v>
      </c>
    </row>
    <row r="336" spans="2:14" x14ac:dyDescent="0.25">
      <c r="B336" s="74" t="s">
        <v>602</v>
      </c>
      <c r="C336" s="75">
        <v>40620618</v>
      </c>
      <c r="D336" s="75" t="s">
        <v>239</v>
      </c>
      <c r="E336" s="75">
        <v>48</v>
      </c>
      <c r="F336" s="75" t="s">
        <v>246</v>
      </c>
      <c r="G336" s="75" t="s">
        <v>241</v>
      </c>
      <c r="H336" s="75">
        <v>2</v>
      </c>
      <c r="I336" s="76">
        <v>6600</v>
      </c>
      <c r="J336" s="75" t="s">
        <v>262</v>
      </c>
      <c r="K336" s="77">
        <v>2</v>
      </c>
      <c r="L336" s="78" t="s">
        <v>271</v>
      </c>
      <c r="M336" s="75" t="s">
        <v>515</v>
      </c>
      <c r="N336" s="82">
        <v>2640</v>
      </c>
    </row>
    <row r="337" spans="2:14" x14ac:dyDescent="0.25">
      <c r="B337" s="74" t="s">
        <v>603</v>
      </c>
      <c r="C337" s="75">
        <v>62254270</v>
      </c>
      <c r="D337" s="75" t="s">
        <v>254</v>
      </c>
      <c r="E337" s="75">
        <v>26</v>
      </c>
      <c r="F337" s="75" t="s">
        <v>240</v>
      </c>
      <c r="G337" s="75" t="s">
        <v>241</v>
      </c>
      <c r="H337" s="75">
        <v>2</v>
      </c>
      <c r="I337" s="76">
        <v>3734</v>
      </c>
      <c r="J337" s="75" t="s">
        <v>256</v>
      </c>
      <c r="K337" s="77">
        <v>2</v>
      </c>
      <c r="L337" s="78" t="s">
        <v>209</v>
      </c>
      <c r="M337" s="75" t="s">
        <v>515</v>
      </c>
      <c r="N337" s="82">
        <v>1493.6000000000001</v>
      </c>
    </row>
    <row r="338" spans="2:14" x14ac:dyDescent="0.25">
      <c r="B338" s="74" t="s">
        <v>604</v>
      </c>
      <c r="C338" s="75">
        <v>50577304</v>
      </c>
      <c r="D338" s="75" t="s">
        <v>239</v>
      </c>
      <c r="E338" s="75">
        <v>45</v>
      </c>
      <c r="F338" s="75" t="s">
        <v>246</v>
      </c>
      <c r="G338" s="75" t="s">
        <v>241</v>
      </c>
      <c r="H338" s="75">
        <v>0</v>
      </c>
      <c r="I338" s="76">
        <v>9617</v>
      </c>
      <c r="J338" s="75" t="s">
        <v>256</v>
      </c>
      <c r="K338" s="77">
        <v>1</v>
      </c>
      <c r="L338" s="78" t="s">
        <v>215</v>
      </c>
      <c r="M338" s="75" t="s">
        <v>515</v>
      </c>
      <c r="N338" s="82">
        <v>1923.4</v>
      </c>
    </row>
    <row r="339" spans="2:14" x14ac:dyDescent="0.25">
      <c r="B339" s="74" t="s">
        <v>605</v>
      </c>
      <c r="C339" s="75">
        <v>38974051</v>
      </c>
      <c r="D339" s="75" t="s">
        <v>254</v>
      </c>
      <c r="E339" s="75">
        <v>53</v>
      </c>
      <c r="F339" s="75" t="s">
        <v>255</v>
      </c>
      <c r="G339" s="75" t="s">
        <v>247</v>
      </c>
      <c r="H339" s="75">
        <v>1</v>
      </c>
      <c r="I339" s="76">
        <v>6219</v>
      </c>
      <c r="J339" s="75" t="s">
        <v>248</v>
      </c>
      <c r="K339" s="77">
        <v>1</v>
      </c>
      <c r="L339" s="78" t="s">
        <v>243</v>
      </c>
      <c r="M339" s="75" t="s">
        <v>515</v>
      </c>
      <c r="N339" s="82">
        <v>1243.8</v>
      </c>
    </row>
    <row r="340" spans="2:14" x14ac:dyDescent="0.25">
      <c r="B340" s="74" t="s">
        <v>606</v>
      </c>
      <c r="C340" s="75">
        <v>36658750</v>
      </c>
      <c r="D340" s="75" t="s">
        <v>239</v>
      </c>
      <c r="E340" s="75">
        <v>60</v>
      </c>
      <c r="F340" s="75" t="s">
        <v>246</v>
      </c>
      <c r="G340" s="75" t="s">
        <v>252</v>
      </c>
      <c r="H340" s="75">
        <v>0</v>
      </c>
      <c r="I340" s="76">
        <v>4322</v>
      </c>
      <c r="J340" s="75" t="s">
        <v>269</v>
      </c>
      <c r="K340" s="77">
        <v>1</v>
      </c>
      <c r="L340" s="78" t="s">
        <v>193</v>
      </c>
      <c r="M340" s="75" t="s">
        <v>515</v>
      </c>
      <c r="N340" s="82">
        <v>864.4</v>
      </c>
    </row>
    <row r="341" spans="2:14" x14ac:dyDescent="0.25">
      <c r="B341" s="74" t="s">
        <v>607</v>
      </c>
      <c r="C341" s="75">
        <v>64549222</v>
      </c>
      <c r="D341" s="75" t="s">
        <v>254</v>
      </c>
      <c r="E341" s="75">
        <v>54</v>
      </c>
      <c r="F341" s="75" t="s">
        <v>251</v>
      </c>
      <c r="G341" s="75" t="s">
        <v>241</v>
      </c>
      <c r="H341" s="75">
        <v>4</v>
      </c>
      <c r="I341" s="76">
        <v>8968</v>
      </c>
      <c r="J341" s="75" t="s">
        <v>269</v>
      </c>
      <c r="K341" s="77">
        <v>1</v>
      </c>
      <c r="L341" s="78" t="s">
        <v>215</v>
      </c>
      <c r="M341" s="75" t="s">
        <v>515</v>
      </c>
      <c r="N341" s="82">
        <v>1793.6000000000001</v>
      </c>
    </row>
    <row r="342" spans="2:14" x14ac:dyDescent="0.25">
      <c r="B342" s="74" t="s">
        <v>608</v>
      </c>
      <c r="C342" s="75">
        <v>31206048</v>
      </c>
      <c r="D342" s="75" t="s">
        <v>239</v>
      </c>
      <c r="E342" s="75">
        <v>40</v>
      </c>
      <c r="F342" s="75" t="s">
        <v>246</v>
      </c>
      <c r="G342" s="75" t="s">
        <v>252</v>
      </c>
      <c r="H342" s="75">
        <v>1</v>
      </c>
      <c r="I342" s="76">
        <v>6941</v>
      </c>
      <c r="J342" s="75" t="s">
        <v>248</v>
      </c>
      <c r="K342" s="77">
        <v>1</v>
      </c>
      <c r="L342" s="78" t="s">
        <v>213</v>
      </c>
      <c r="M342" s="75" t="s">
        <v>515</v>
      </c>
      <c r="N342" s="82">
        <v>1388.1999999999998</v>
      </c>
    </row>
    <row r="343" spans="2:14" x14ac:dyDescent="0.25">
      <c r="B343" s="74" t="s">
        <v>609</v>
      </c>
      <c r="C343" s="75">
        <v>23806421</v>
      </c>
      <c r="D343" s="75" t="s">
        <v>239</v>
      </c>
      <c r="E343" s="75">
        <v>24</v>
      </c>
      <c r="F343" s="75" t="s">
        <v>255</v>
      </c>
      <c r="G343" s="75" t="s">
        <v>258</v>
      </c>
      <c r="H343" s="75">
        <v>4</v>
      </c>
      <c r="I343" s="76">
        <v>5553</v>
      </c>
      <c r="J343" s="75" t="s">
        <v>248</v>
      </c>
      <c r="K343" s="77">
        <v>1</v>
      </c>
      <c r="L343" s="78" t="s">
        <v>271</v>
      </c>
      <c r="M343" s="75" t="s">
        <v>515</v>
      </c>
      <c r="N343" s="82">
        <v>1110.5999999999999</v>
      </c>
    </row>
    <row r="344" spans="2:14" x14ac:dyDescent="0.25">
      <c r="B344" s="74" t="s">
        <v>610</v>
      </c>
      <c r="C344" s="75">
        <v>35597347</v>
      </c>
      <c r="D344" s="75" t="s">
        <v>239</v>
      </c>
      <c r="E344" s="75">
        <v>48</v>
      </c>
      <c r="F344" s="75" t="s">
        <v>246</v>
      </c>
      <c r="G344" s="75" t="s">
        <v>247</v>
      </c>
      <c r="H344" s="75">
        <v>2</v>
      </c>
      <c r="I344" s="76">
        <v>7278</v>
      </c>
      <c r="J344" s="75" t="s">
        <v>248</v>
      </c>
      <c r="K344" s="77">
        <v>1</v>
      </c>
      <c r="L344" s="78" t="s">
        <v>279</v>
      </c>
      <c r="M344" s="75" t="s">
        <v>515</v>
      </c>
      <c r="N344" s="82">
        <v>1455.6</v>
      </c>
    </row>
    <row r="345" spans="2:14" x14ac:dyDescent="0.25">
      <c r="B345" s="74" t="s">
        <v>611</v>
      </c>
      <c r="C345" s="75">
        <v>48785818</v>
      </c>
      <c r="D345" s="75" t="s">
        <v>239</v>
      </c>
      <c r="E345" s="75">
        <v>39</v>
      </c>
      <c r="F345" s="75" t="s">
        <v>251</v>
      </c>
      <c r="G345" s="75" t="s">
        <v>241</v>
      </c>
      <c r="H345" s="75">
        <v>4</v>
      </c>
      <c r="I345" s="76">
        <v>7764</v>
      </c>
      <c r="J345" s="75" t="s">
        <v>248</v>
      </c>
      <c r="K345" s="77">
        <v>1</v>
      </c>
      <c r="L345" s="78" t="s">
        <v>263</v>
      </c>
      <c r="M345" s="75" t="s">
        <v>515</v>
      </c>
      <c r="N345" s="82">
        <v>1552.8</v>
      </c>
    </row>
    <row r="346" spans="2:14" x14ac:dyDescent="0.25">
      <c r="B346" s="74" t="s">
        <v>612</v>
      </c>
      <c r="C346" s="75">
        <v>38437619</v>
      </c>
      <c r="D346" s="75" t="s">
        <v>254</v>
      </c>
      <c r="E346" s="75">
        <v>43</v>
      </c>
      <c r="F346" s="75" t="s">
        <v>255</v>
      </c>
      <c r="G346" s="75" t="s">
        <v>241</v>
      </c>
      <c r="H346" s="75">
        <v>4</v>
      </c>
      <c r="I346" s="76">
        <v>8077</v>
      </c>
      <c r="J346" s="75" t="s">
        <v>262</v>
      </c>
      <c r="K346" s="77">
        <v>1</v>
      </c>
      <c r="L346" s="78" t="s">
        <v>210</v>
      </c>
      <c r="M346" s="75" t="s">
        <v>515</v>
      </c>
      <c r="N346" s="82">
        <v>1615.3999999999999</v>
      </c>
    </row>
    <row r="347" spans="2:14" x14ac:dyDescent="0.25">
      <c r="B347" s="74" t="s">
        <v>613</v>
      </c>
      <c r="C347" s="75">
        <v>47110820</v>
      </c>
      <c r="D347" s="75" t="s">
        <v>239</v>
      </c>
      <c r="E347" s="75">
        <v>60</v>
      </c>
      <c r="F347" s="75" t="s">
        <v>240</v>
      </c>
      <c r="G347" s="75" t="s">
        <v>247</v>
      </c>
      <c r="H347" s="75">
        <v>2</v>
      </c>
      <c r="I347" s="76">
        <v>4752</v>
      </c>
      <c r="J347" s="75" t="s">
        <v>256</v>
      </c>
      <c r="K347" s="77">
        <v>1</v>
      </c>
      <c r="L347" s="78" t="s">
        <v>215</v>
      </c>
      <c r="M347" s="75" t="s">
        <v>515</v>
      </c>
      <c r="N347" s="82">
        <v>950.40000000000009</v>
      </c>
    </row>
    <row r="348" spans="2:14" x14ac:dyDescent="0.25">
      <c r="B348" s="74" t="s">
        <v>614</v>
      </c>
      <c r="C348" s="75">
        <v>51277415</v>
      </c>
      <c r="D348" s="75" t="s">
        <v>239</v>
      </c>
      <c r="E348" s="75">
        <v>43</v>
      </c>
      <c r="F348" s="75" t="s">
        <v>255</v>
      </c>
      <c r="G348" s="75" t="s">
        <v>241</v>
      </c>
      <c r="H348" s="75">
        <v>4</v>
      </c>
      <c r="I348" s="76">
        <v>7070</v>
      </c>
      <c r="J348" s="75" t="s">
        <v>242</v>
      </c>
      <c r="K348" s="77">
        <v>1</v>
      </c>
      <c r="L348" s="78" t="s">
        <v>263</v>
      </c>
      <c r="M348" s="75" t="s">
        <v>515</v>
      </c>
      <c r="N348" s="82">
        <v>1414</v>
      </c>
    </row>
    <row r="349" spans="2:14" x14ac:dyDescent="0.25">
      <c r="B349" s="74" t="s">
        <v>615</v>
      </c>
      <c r="C349" s="75">
        <v>54697474</v>
      </c>
      <c r="D349" s="75" t="s">
        <v>239</v>
      </c>
      <c r="E349" s="75">
        <v>61</v>
      </c>
      <c r="F349" s="75" t="s">
        <v>255</v>
      </c>
      <c r="G349" s="75" t="s">
        <v>241</v>
      </c>
      <c r="H349" s="75">
        <v>1</v>
      </c>
      <c r="I349" s="76">
        <v>3334</v>
      </c>
      <c r="J349" s="75" t="s">
        <v>248</v>
      </c>
      <c r="K349" s="77">
        <v>1</v>
      </c>
      <c r="L349" s="78" t="s">
        <v>243</v>
      </c>
      <c r="M349" s="75" t="s">
        <v>515</v>
      </c>
      <c r="N349" s="82">
        <v>666.80000000000007</v>
      </c>
    </row>
    <row r="350" spans="2:14" x14ac:dyDescent="0.25">
      <c r="B350" s="74" t="s">
        <v>616</v>
      </c>
      <c r="C350" s="75">
        <v>67846895</v>
      </c>
      <c r="D350" s="75" t="s">
        <v>254</v>
      </c>
      <c r="E350" s="75">
        <v>22</v>
      </c>
      <c r="F350" s="75" t="s">
        <v>240</v>
      </c>
      <c r="G350" s="75" t="s">
        <v>241</v>
      </c>
      <c r="H350" s="75">
        <v>2</v>
      </c>
      <c r="I350" s="76">
        <v>6457</v>
      </c>
      <c r="J350" s="75" t="s">
        <v>256</v>
      </c>
      <c r="K350" s="77">
        <v>1</v>
      </c>
      <c r="L350" s="78" t="s">
        <v>209</v>
      </c>
      <c r="M350" s="75" t="s">
        <v>515</v>
      </c>
      <c r="N350" s="82">
        <v>1291.3999999999999</v>
      </c>
    </row>
    <row r="351" spans="2:14" x14ac:dyDescent="0.25">
      <c r="B351" s="74" t="s">
        <v>617</v>
      </c>
      <c r="C351" s="75">
        <v>48380801</v>
      </c>
      <c r="D351" s="75" t="s">
        <v>239</v>
      </c>
      <c r="E351" s="75">
        <v>29</v>
      </c>
      <c r="F351" s="75" t="s">
        <v>251</v>
      </c>
      <c r="G351" s="75" t="s">
        <v>241</v>
      </c>
      <c r="H351" s="75">
        <v>1</v>
      </c>
      <c r="I351" s="76">
        <v>3377</v>
      </c>
      <c r="J351" s="75" t="s">
        <v>248</v>
      </c>
      <c r="K351" s="77">
        <v>1</v>
      </c>
      <c r="L351" s="78" t="s">
        <v>203</v>
      </c>
      <c r="M351" s="75" t="s">
        <v>515</v>
      </c>
      <c r="N351" s="82">
        <v>675.40000000000009</v>
      </c>
    </row>
    <row r="352" spans="2:14" x14ac:dyDescent="0.25">
      <c r="B352" s="74" t="s">
        <v>618</v>
      </c>
      <c r="C352" s="75">
        <v>46926142</v>
      </c>
      <c r="D352" s="75" t="s">
        <v>239</v>
      </c>
      <c r="E352" s="75">
        <v>34</v>
      </c>
      <c r="F352" s="75" t="s">
        <v>240</v>
      </c>
      <c r="G352" s="75" t="s">
        <v>247</v>
      </c>
      <c r="H352" s="75">
        <v>4</v>
      </c>
      <c r="I352" s="76">
        <v>9945</v>
      </c>
      <c r="J352" s="75" t="s">
        <v>242</v>
      </c>
      <c r="K352" s="77">
        <v>1</v>
      </c>
      <c r="L352" s="78" t="s">
        <v>279</v>
      </c>
      <c r="M352" s="75" t="s">
        <v>515</v>
      </c>
      <c r="N352" s="82">
        <v>1989</v>
      </c>
    </row>
    <row r="353" spans="2:14" x14ac:dyDescent="0.25">
      <c r="B353" s="74" t="s">
        <v>619</v>
      </c>
      <c r="C353" s="75">
        <v>32369815</v>
      </c>
      <c r="D353" s="75" t="s">
        <v>239</v>
      </c>
      <c r="E353" s="75">
        <v>63</v>
      </c>
      <c r="F353" s="75" t="s">
        <v>255</v>
      </c>
      <c r="G353" s="75" t="s">
        <v>258</v>
      </c>
      <c r="H353" s="75">
        <v>2</v>
      </c>
      <c r="I353" s="76">
        <v>7886</v>
      </c>
      <c r="J353" s="75" t="s">
        <v>256</v>
      </c>
      <c r="K353" s="77">
        <v>1</v>
      </c>
      <c r="L353" s="78" t="s">
        <v>263</v>
      </c>
      <c r="M353" s="75" t="s">
        <v>515</v>
      </c>
      <c r="N353" s="82">
        <v>1577.2</v>
      </c>
    </row>
    <row r="354" spans="2:14" x14ac:dyDescent="0.25">
      <c r="B354" s="74" t="s">
        <v>620</v>
      </c>
      <c r="C354" s="75">
        <v>62257766</v>
      </c>
      <c r="D354" s="75" t="s">
        <v>254</v>
      </c>
      <c r="E354" s="75">
        <v>41</v>
      </c>
      <c r="F354" s="75" t="s">
        <v>246</v>
      </c>
      <c r="G354" s="75" t="s">
        <v>252</v>
      </c>
      <c r="H354" s="75">
        <v>4</v>
      </c>
      <c r="I354" s="76">
        <v>4271</v>
      </c>
      <c r="J354" s="75" t="s">
        <v>242</v>
      </c>
      <c r="K354" s="77">
        <v>1</v>
      </c>
      <c r="L354" s="78" t="s">
        <v>279</v>
      </c>
      <c r="M354" s="75" t="s">
        <v>515</v>
      </c>
      <c r="N354" s="82">
        <v>854.2</v>
      </c>
    </row>
    <row r="355" spans="2:14" x14ac:dyDescent="0.25">
      <c r="B355" s="74" t="s">
        <v>621</v>
      </c>
      <c r="C355" s="75">
        <v>34437728</v>
      </c>
      <c r="D355" s="75" t="s">
        <v>254</v>
      </c>
      <c r="E355" s="75">
        <v>22</v>
      </c>
      <c r="F355" s="75" t="s">
        <v>240</v>
      </c>
      <c r="G355" s="75" t="s">
        <v>258</v>
      </c>
      <c r="H355" s="75">
        <v>3</v>
      </c>
      <c r="I355" s="76">
        <v>4258</v>
      </c>
      <c r="J355" s="75" t="s">
        <v>248</v>
      </c>
      <c r="K355" s="77">
        <v>1</v>
      </c>
      <c r="L355" s="78" t="s">
        <v>279</v>
      </c>
      <c r="M355" s="75" t="s">
        <v>515</v>
      </c>
      <c r="N355" s="82">
        <v>851.59999999999991</v>
      </c>
    </row>
    <row r="356" spans="2:14" x14ac:dyDescent="0.25">
      <c r="B356" s="74" t="s">
        <v>622</v>
      </c>
      <c r="C356" s="75">
        <v>42810452</v>
      </c>
      <c r="D356" s="75" t="s">
        <v>239</v>
      </c>
      <c r="E356" s="75">
        <v>46</v>
      </c>
      <c r="F356" s="75" t="s">
        <v>246</v>
      </c>
      <c r="G356" s="75" t="s">
        <v>241</v>
      </c>
      <c r="H356" s="75">
        <v>1</v>
      </c>
      <c r="I356" s="76">
        <v>9908</v>
      </c>
      <c r="J356" s="75" t="s">
        <v>248</v>
      </c>
      <c r="K356" s="77">
        <v>1</v>
      </c>
      <c r="L356" s="78" t="s">
        <v>279</v>
      </c>
      <c r="M356" s="75" t="s">
        <v>515</v>
      </c>
      <c r="N356" s="82">
        <v>1981.6</v>
      </c>
    </row>
    <row r="357" spans="2:14" x14ac:dyDescent="0.25">
      <c r="B357" s="74" t="s">
        <v>623</v>
      </c>
      <c r="C357" s="75">
        <v>43106802</v>
      </c>
      <c r="D357" s="75" t="s">
        <v>254</v>
      </c>
      <c r="E357" s="75">
        <v>25</v>
      </c>
      <c r="F357" s="75" t="s">
        <v>255</v>
      </c>
      <c r="G357" s="75" t="s">
        <v>247</v>
      </c>
      <c r="H357" s="75">
        <v>0</v>
      </c>
      <c r="I357" s="76">
        <v>2150</v>
      </c>
      <c r="J357" s="75" t="s">
        <v>256</v>
      </c>
      <c r="K357" s="77">
        <v>0</v>
      </c>
      <c r="L357" s="78" t="s">
        <v>382</v>
      </c>
      <c r="M357" s="75" t="s">
        <v>515</v>
      </c>
      <c r="N357" s="82">
        <v>0</v>
      </c>
    </row>
    <row r="358" spans="2:14" x14ac:dyDescent="0.25">
      <c r="B358" s="74" t="s">
        <v>624</v>
      </c>
      <c r="C358" s="75">
        <v>67550564</v>
      </c>
      <c r="D358" s="75" t="s">
        <v>239</v>
      </c>
      <c r="E358" s="75">
        <v>52</v>
      </c>
      <c r="F358" s="75" t="s">
        <v>251</v>
      </c>
      <c r="G358" s="75" t="s">
        <v>258</v>
      </c>
      <c r="H358" s="75">
        <v>3</v>
      </c>
      <c r="I358" s="76">
        <v>2241</v>
      </c>
      <c r="J358" s="75" t="s">
        <v>242</v>
      </c>
      <c r="K358" s="77">
        <v>0</v>
      </c>
      <c r="L358" s="78" t="s">
        <v>382</v>
      </c>
      <c r="M358" s="75" t="s">
        <v>515</v>
      </c>
      <c r="N358" s="82">
        <v>0</v>
      </c>
    </row>
    <row r="359" spans="2:14" x14ac:dyDescent="0.25">
      <c r="B359" s="74" t="s">
        <v>625</v>
      </c>
      <c r="C359" s="75">
        <v>70131925</v>
      </c>
      <c r="D359" s="75" t="s">
        <v>254</v>
      </c>
      <c r="E359" s="75">
        <v>32</v>
      </c>
      <c r="F359" s="75" t="s">
        <v>251</v>
      </c>
      <c r="G359" s="75" t="s">
        <v>241</v>
      </c>
      <c r="H359" s="75">
        <v>2</v>
      </c>
      <c r="I359" s="76">
        <v>7943</v>
      </c>
      <c r="J359" s="75" t="s">
        <v>242</v>
      </c>
      <c r="K359" s="77">
        <v>0</v>
      </c>
      <c r="L359" s="78" t="s">
        <v>382</v>
      </c>
      <c r="M359" s="75" t="s">
        <v>515</v>
      </c>
      <c r="N359" s="82">
        <v>0</v>
      </c>
    </row>
    <row r="360" spans="2:14" x14ac:dyDescent="0.25">
      <c r="B360" s="74" t="s">
        <v>626</v>
      </c>
      <c r="C360" s="75">
        <v>56723084</v>
      </c>
      <c r="D360" s="75" t="s">
        <v>239</v>
      </c>
      <c r="E360" s="75">
        <v>48</v>
      </c>
      <c r="F360" s="75" t="s">
        <v>255</v>
      </c>
      <c r="G360" s="75" t="s">
        <v>252</v>
      </c>
      <c r="H360" s="75">
        <v>2</v>
      </c>
      <c r="I360" s="76">
        <v>3929</v>
      </c>
      <c r="J360" s="75" t="s">
        <v>269</v>
      </c>
      <c r="K360" s="77">
        <v>10</v>
      </c>
      <c r="L360" s="78" t="s">
        <v>210</v>
      </c>
      <c r="M360" s="75" t="s">
        <v>627</v>
      </c>
      <c r="N360" s="82">
        <v>5893.5</v>
      </c>
    </row>
    <row r="361" spans="2:14" x14ac:dyDescent="0.25">
      <c r="B361" s="74" t="s">
        <v>628</v>
      </c>
      <c r="C361" s="75">
        <v>68073453</v>
      </c>
      <c r="D361" s="75" t="s">
        <v>239</v>
      </c>
      <c r="E361" s="75">
        <v>53</v>
      </c>
      <c r="F361" s="75" t="s">
        <v>246</v>
      </c>
      <c r="G361" s="75" t="s">
        <v>252</v>
      </c>
      <c r="H361" s="75">
        <v>4</v>
      </c>
      <c r="I361" s="76">
        <v>6217</v>
      </c>
      <c r="J361" s="75" t="s">
        <v>256</v>
      </c>
      <c r="K361" s="77">
        <v>10</v>
      </c>
      <c r="L361" s="78" t="s">
        <v>214</v>
      </c>
      <c r="M361" s="75" t="s">
        <v>627</v>
      </c>
      <c r="N361" s="82">
        <v>9325.5</v>
      </c>
    </row>
    <row r="362" spans="2:14" x14ac:dyDescent="0.25">
      <c r="B362" s="74" t="s">
        <v>629</v>
      </c>
      <c r="C362" s="75">
        <v>48237096</v>
      </c>
      <c r="D362" s="75" t="s">
        <v>254</v>
      </c>
      <c r="E362" s="75">
        <v>52</v>
      </c>
      <c r="F362" s="75" t="s">
        <v>246</v>
      </c>
      <c r="G362" s="75" t="s">
        <v>241</v>
      </c>
      <c r="H362" s="75">
        <v>1</v>
      </c>
      <c r="I362" s="76">
        <v>9958</v>
      </c>
      <c r="J362" s="75" t="s">
        <v>269</v>
      </c>
      <c r="K362" s="77">
        <v>10</v>
      </c>
      <c r="L362" s="78" t="s">
        <v>279</v>
      </c>
      <c r="M362" s="75" t="s">
        <v>627</v>
      </c>
      <c r="N362" s="82">
        <v>14937</v>
      </c>
    </row>
    <row r="363" spans="2:14" x14ac:dyDescent="0.25">
      <c r="B363" s="74" t="s">
        <v>630</v>
      </c>
      <c r="C363" s="75">
        <v>64119461</v>
      </c>
      <c r="D363" s="75" t="s">
        <v>239</v>
      </c>
      <c r="E363" s="75">
        <v>42</v>
      </c>
      <c r="F363" s="75" t="s">
        <v>240</v>
      </c>
      <c r="G363" s="75" t="s">
        <v>258</v>
      </c>
      <c r="H363" s="75">
        <v>2</v>
      </c>
      <c r="I363" s="76">
        <v>4114</v>
      </c>
      <c r="J363" s="75" t="s">
        <v>269</v>
      </c>
      <c r="K363" s="77">
        <v>10</v>
      </c>
      <c r="L363" s="78" t="s">
        <v>215</v>
      </c>
      <c r="M363" s="75" t="s">
        <v>627</v>
      </c>
      <c r="N363" s="82">
        <v>6171</v>
      </c>
    </row>
    <row r="364" spans="2:14" x14ac:dyDescent="0.25">
      <c r="B364" s="74" t="s">
        <v>631</v>
      </c>
      <c r="C364" s="75">
        <v>70199656</v>
      </c>
      <c r="D364" s="75" t="s">
        <v>239</v>
      </c>
      <c r="E364" s="75">
        <v>36</v>
      </c>
      <c r="F364" s="75" t="s">
        <v>251</v>
      </c>
      <c r="G364" s="75" t="s">
        <v>258</v>
      </c>
      <c r="H364" s="75">
        <v>4</v>
      </c>
      <c r="I364" s="76">
        <v>6355</v>
      </c>
      <c r="J364" s="75" t="s">
        <v>269</v>
      </c>
      <c r="K364" s="77">
        <v>10</v>
      </c>
      <c r="L364" s="78" t="s">
        <v>210</v>
      </c>
      <c r="M364" s="75" t="s">
        <v>627</v>
      </c>
      <c r="N364" s="82">
        <v>9532.5</v>
      </c>
    </row>
    <row r="365" spans="2:14" x14ac:dyDescent="0.25">
      <c r="B365" s="74" t="s">
        <v>632</v>
      </c>
      <c r="C365" s="75">
        <v>21894319</v>
      </c>
      <c r="D365" s="75" t="s">
        <v>239</v>
      </c>
      <c r="E365" s="75">
        <v>49</v>
      </c>
      <c r="F365" s="75" t="s">
        <v>255</v>
      </c>
      <c r="G365" s="75" t="s">
        <v>241</v>
      </c>
      <c r="H365" s="75">
        <v>1</v>
      </c>
      <c r="I365" s="76">
        <v>9028</v>
      </c>
      <c r="J365" s="75" t="s">
        <v>269</v>
      </c>
      <c r="K365" s="77">
        <v>10</v>
      </c>
      <c r="L365" s="78" t="s">
        <v>212</v>
      </c>
      <c r="M365" s="75" t="s">
        <v>627</v>
      </c>
      <c r="N365" s="82">
        <v>13542</v>
      </c>
    </row>
    <row r="366" spans="2:14" x14ac:dyDescent="0.25">
      <c r="B366" s="74" t="s">
        <v>633</v>
      </c>
      <c r="C366" s="75">
        <v>39492925</v>
      </c>
      <c r="D366" s="75" t="s">
        <v>254</v>
      </c>
      <c r="E366" s="75">
        <v>52</v>
      </c>
      <c r="F366" s="75" t="s">
        <v>251</v>
      </c>
      <c r="G366" s="75" t="s">
        <v>247</v>
      </c>
      <c r="H366" s="75">
        <v>0</v>
      </c>
      <c r="I366" s="76">
        <v>8906</v>
      </c>
      <c r="J366" s="75" t="s">
        <v>269</v>
      </c>
      <c r="K366" s="77">
        <v>10</v>
      </c>
      <c r="L366" s="78" t="s">
        <v>209</v>
      </c>
      <c r="M366" s="75" t="s">
        <v>627</v>
      </c>
      <c r="N366" s="82">
        <v>13359</v>
      </c>
    </row>
    <row r="367" spans="2:14" x14ac:dyDescent="0.25">
      <c r="B367" s="74" t="s">
        <v>634</v>
      </c>
      <c r="C367" s="75">
        <v>41933837</v>
      </c>
      <c r="D367" s="75" t="s">
        <v>239</v>
      </c>
      <c r="E367" s="75">
        <v>21</v>
      </c>
      <c r="F367" s="75" t="s">
        <v>255</v>
      </c>
      <c r="G367" s="75" t="s">
        <v>241</v>
      </c>
      <c r="H367" s="75">
        <v>4</v>
      </c>
      <c r="I367" s="76">
        <v>6230</v>
      </c>
      <c r="J367" s="75" t="s">
        <v>269</v>
      </c>
      <c r="K367" s="77">
        <v>10</v>
      </c>
      <c r="L367" s="78" t="s">
        <v>210</v>
      </c>
      <c r="M367" s="75" t="s">
        <v>627</v>
      </c>
      <c r="N367" s="82">
        <v>9345</v>
      </c>
    </row>
    <row r="368" spans="2:14" x14ac:dyDescent="0.25">
      <c r="B368" s="74" t="s">
        <v>635</v>
      </c>
      <c r="C368" s="75">
        <v>61778428</v>
      </c>
      <c r="D368" s="75" t="s">
        <v>254</v>
      </c>
      <c r="E368" s="75">
        <v>54</v>
      </c>
      <c r="F368" s="75" t="s">
        <v>240</v>
      </c>
      <c r="G368" s="75" t="s">
        <v>252</v>
      </c>
      <c r="H368" s="75">
        <v>1</v>
      </c>
      <c r="I368" s="76">
        <v>2235</v>
      </c>
      <c r="J368" s="75" t="s">
        <v>262</v>
      </c>
      <c r="K368" s="77">
        <v>10</v>
      </c>
      <c r="L368" s="78" t="s">
        <v>243</v>
      </c>
      <c r="M368" s="75" t="s">
        <v>627</v>
      </c>
      <c r="N368" s="82">
        <v>3352.5</v>
      </c>
    </row>
    <row r="369" spans="2:14" x14ac:dyDescent="0.25">
      <c r="B369" s="74" t="s">
        <v>636</v>
      </c>
      <c r="C369" s="75">
        <v>30357532</v>
      </c>
      <c r="D369" s="75" t="s">
        <v>254</v>
      </c>
      <c r="E369" s="75">
        <v>49</v>
      </c>
      <c r="F369" s="75" t="s">
        <v>246</v>
      </c>
      <c r="G369" s="75" t="s">
        <v>258</v>
      </c>
      <c r="H369" s="75">
        <v>1</v>
      </c>
      <c r="I369" s="76">
        <v>2973</v>
      </c>
      <c r="J369" s="75" t="s">
        <v>269</v>
      </c>
      <c r="K369" s="77">
        <v>10</v>
      </c>
      <c r="L369" s="78" t="s">
        <v>215</v>
      </c>
      <c r="M369" s="75" t="s">
        <v>627</v>
      </c>
      <c r="N369" s="82">
        <v>4459.5</v>
      </c>
    </row>
    <row r="370" spans="2:14" x14ac:dyDescent="0.25">
      <c r="B370" s="74" t="s">
        <v>637</v>
      </c>
      <c r="C370" s="75">
        <v>62805000</v>
      </c>
      <c r="D370" s="75" t="s">
        <v>239</v>
      </c>
      <c r="E370" s="75">
        <v>42</v>
      </c>
      <c r="F370" s="75" t="s">
        <v>246</v>
      </c>
      <c r="G370" s="75" t="s">
        <v>241</v>
      </c>
      <c r="H370" s="75">
        <v>1</v>
      </c>
      <c r="I370" s="76">
        <v>2108</v>
      </c>
      <c r="J370" s="75" t="s">
        <v>242</v>
      </c>
      <c r="K370" s="77">
        <v>10</v>
      </c>
      <c r="L370" s="78" t="s">
        <v>271</v>
      </c>
      <c r="M370" s="75" t="s">
        <v>627</v>
      </c>
      <c r="N370" s="82">
        <v>3162</v>
      </c>
    </row>
    <row r="371" spans="2:14" x14ac:dyDescent="0.25">
      <c r="B371" s="74" t="s">
        <v>638</v>
      </c>
      <c r="C371" s="75">
        <v>30549594</v>
      </c>
      <c r="D371" s="75" t="s">
        <v>254</v>
      </c>
      <c r="E371" s="75">
        <v>40</v>
      </c>
      <c r="F371" s="75" t="s">
        <v>240</v>
      </c>
      <c r="G371" s="75" t="s">
        <v>241</v>
      </c>
      <c r="H371" s="75">
        <v>3</v>
      </c>
      <c r="I371" s="76">
        <v>9368</v>
      </c>
      <c r="J371" s="75" t="s">
        <v>262</v>
      </c>
      <c r="K371" s="77">
        <v>10</v>
      </c>
      <c r="L371" s="78" t="s">
        <v>212</v>
      </c>
      <c r="M371" s="75" t="s">
        <v>627</v>
      </c>
      <c r="N371" s="82">
        <v>14052</v>
      </c>
    </row>
    <row r="372" spans="2:14" x14ac:dyDescent="0.25">
      <c r="B372" s="74" t="s">
        <v>639</v>
      </c>
      <c r="C372" s="75">
        <v>50249539</v>
      </c>
      <c r="D372" s="75" t="s">
        <v>254</v>
      </c>
      <c r="E372" s="75">
        <v>19</v>
      </c>
      <c r="F372" s="75" t="s">
        <v>255</v>
      </c>
      <c r="G372" s="75" t="s">
        <v>258</v>
      </c>
      <c r="H372" s="75">
        <v>1</v>
      </c>
      <c r="I372" s="76">
        <v>2723</v>
      </c>
      <c r="J372" s="75" t="s">
        <v>262</v>
      </c>
      <c r="K372" s="77">
        <v>10</v>
      </c>
      <c r="L372" s="78" t="s">
        <v>203</v>
      </c>
      <c r="M372" s="75" t="s">
        <v>627</v>
      </c>
      <c r="N372" s="82">
        <v>4084.5</v>
      </c>
    </row>
    <row r="373" spans="2:14" x14ac:dyDescent="0.25">
      <c r="B373" s="74" t="s">
        <v>640</v>
      </c>
      <c r="C373" s="75">
        <v>35403114</v>
      </c>
      <c r="D373" s="75" t="s">
        <v>239</v>
      </c>
      <c r="E373" s="75">
        <v>43</v>
      </c>
      <c r="F373" s="75" t="s">
        <v>251</v>
      </c>
      <c r="G373" s="75" t="s">
        <v>252</v>
      </c>
      <c r="H373" s="75">
        <v>1</v>
      </c>
      <c r="I373" s="76">
        <v>4450</v>
      </c>
      <c r="J373" s="75" t="s">
        <v>269</v>
      </c>
      <c r="K373" s="77">
        <v>10</v>
      </c>
      <c r="L373" s="78" t="s">
        <v>243</v>
      </c>
      <c r="M373" s="75" t="s">
        <v>627</v>
      </c>
      <c r="N373" s="82">
        <v>6675</v>
      </c>
    </row>
    <row r="374" spans="2:14" x14ac:dyDescent="0.25">
      <c r="B374" s="74" t="s">
        <v>641</v>
      </c>
      <c r="C374" s="75">
        <v>52536636</v>
      </c>
      <c r="D374" s="75" t="s">
        <v>239</v>
      </c>
      <c r="E374" s="75">
        <v>64</v>
      </c>
      <c r="F374" s="75" t="s">
        <v>255</v>
      </c>
      <c r="G374" s="75" t="s">
        <v>258</v>
      </c>
      <c r="H374" s="75">
        <v>2</v>
      </c>
      <c r="I374" s="76">
        <v>2999</v>
      </c>
      <c r="J374" s="75" t="s">
        <v>269</v>
      </c>
      <c r="K374" s="77">
        <v>10</v>
      </c>
      <c r="L374" s="78" t="s">
        <v>263</v>
      </c>
      <c r="M374" s="75" t="s">
        <v>627</v>
      </c>
      <c r="N374" s="82">
        <v>4498.5</v>
      </c>
    </row>
    <row r="375" spans="2:14" x14ac:dyDescent="0.25">
      <c r="B375" s="74" t="s">
        <v>642</v>
      </c>
      <c r="C375" s="75">
        <v>59829853</v>
      </c>
      <c r="D375" s="75" t="s">
        <v>239</v>
      </c>
      <c r="E375" s="75">
        <v>31</v>
      </c>
      <c r="F375" s="75" t="s">
        <v>240</v>
      </c>
      <c r="G375" s="75" t="s">
        <v>241</v>
      </c>
      <c r="H375" s="75">
        <v>1</v>
      </c>
      <c r="I375" s="76">
        <v>6528</v>
      </c>
      <c r="J375" s="75" t="s">
        <v>262</v>
      </c>
      <c r="K375" s="77">
        <v>10</v>
      </c>
      <c r="L375" s="78" t="s">
        <v>243</v>
      </c>
      <c r="M375" s="75" t="s">
        <v>627</v>
      </c>
      <c r="N375" s="82">
        <v>9792</v>
      </c>
    </row>
    <row r="376" spans="2:14" x14ac:dyDescent="0.25">
      <c r="B376" s="74" t="s">
        <v>643</v>
      </c>
      <c r="C376" s="75">
        <v>59724657</v>
      </c>
      <c r="D376" s="75" t="s">
        <v>239</v>
      </c>
      <c r="E376" s="75">
        <v>23</v>
      </c>
      <c r="F376" s="75" t="s">
        <v>251</v>
      </c>
      <c r="G376" s="75" t="s">
        <v>258</v>
      </c>
      <c r="H376" s="75">
        <v>2</v>
      </c>
      <c r="I376" s="76">
        <v>5676</v>
      </c>
      <c r="J376" s="75" t="s">
        <v>269</v>
      </c>
      <c r="K376" s="77">
        <v>10</v>
      </c>
      <c r="L376" s="78" t="s">
        <v>279</v>
      </c>
      <c r="M376" s="75" t="s">
        <v>627</v>
      </c>
      <c r="N376" s="82">
        <v>8514</v>
      </c>
    </row>
    <row r="377" spans="2:14" x14ac:dyDescent="0.25">
      <c r="B377" s="74" t="s">
        <v>644</v>
      </c>
      <c r="C377" s="75">
        <v>66080412</v>
      </c>
      <c r="D377" s="75" t="s">
        <v>239</v>
      </c>
      <c r="E377" s="75">
        <v>42</v>
      </c>
      <c r="F377" s="75" t="s">
        <v>246</v>
      </c>
      <c r="G377" s="75" t="s">
        <v>252</v>
      </c>
      <c r="H377" s="75">
        <v>1</v>
      </c>
      <c r="I377" s="76">
        <v>7575</v>
      </c>
      <c r="J377" s="75" t="s">
        <v>256</v>
      </c>
      <c r="K377" s="77">
        <v>9</v>
      </c>
      <c r="L377" s="78" t="s">
        <v>263</v>
      </c>
      <c r="M377" s="75" t="s">
        <v>627</v>
      </c>
      <c r="N377" s="82">
        <v>10226.25</v>
      </c>
    </row>
    <row r="378" spans="2:14" x14ac:dyDescent="0.25">
      <c r="B378" s="74" t="s">
        <v>645</v>
      </c>
      <c r="C378" s="75">
        <v>51293852</v>
      </c>
      <c r="D378" s="75" t="s">
        <v>239</v>
      </c>
      <c r="E378" s="75">
        <v>25</v>
      </c>
      <c r="F378" s="75" t="s">
        <v>246</v>
      </c>
      <c r="G378" s="75" t="s">
        <v>258</v>
      </c>
      <c r="H378" s="75">
        <v>4</v>
      </c>
      <c r="I378" s="76">
        <v>9780</v>
      </c>
      <c r="J378" s="75" t="s">
        <v>262</v>
      </c>
      <c r="K378" s="77">
        <v>9</v>
      </c>
      <c r="L378" s="78" t="s">
        <v>209</v>
      </c>
      <c r="M378" s="75" t="s">
        <v>627</v>
      </c>
      <c r="N378" s="82">
        <v>13203</v>
      </c>
    </row>
    <row r="379" spans="2:14" x14ac:dyDescent="0.25">
      <c r="B379" s="74" t="s">
        <v>646</v>
      </c>
      <c r="C379" s="75">
        <v>68226045</v>
      </c>
      <c r="D379" s="75" t="s">
        <v>254</v>
      </c>
      <c r="E379" s="75">
        <v>45</v>
      </c>
      <c r="F379" s="75" t="s">
        <v>255</v>
      </c>
      <c r="G379" s="75" t="s">
        <v>252</v>
      </c>
      <c r="H379" s="75">
        <v>3</v>
      </c>
      <c r="I379" s="76">
        <v>8200</v>
      </c>
      <c r="J379" s="75" t="s">
        <v>262</v>
      </c>
      <c r="K379" s="77">
        <v>9</v>
      </c>
      <c r="L379" s="78" t="s">
        <v>212</v>
      </c>
      <c r="M379" s="75" t="s">
        <v>627</v>
      </c>
      <c r="N379" s="82">
        <v>11070</v>
      </c>
    </row>
    <row r="380" spans="2:14" x14ac:dyDescent="0.25">
      <c r="B380" s="74" t="s">
        <v>647</v>
      </c>
      <c r="C380" s="75">
        <v>55998913</v>
      </c>
      <c r="D380" s="75" t="s">
        <v>254</v>
      </c>
      <c r="E380" s="75">
        <v>43</v>
      </c>
      <c r="F380" s="75" t="s">
        <v>255</v>
      </c>
      <c r="G380" s="75" t="s">
        <v>258</v>
      </c>
      <c r="H380" s="75">
        <v>0</v>
      </c>
      <c r="I380" s="76">
        <v>6589</v>
      </c>
      <c r="J380" s="75" t="s">
        <v>256</v>
      </c>
      <c r="K380" s="77">
        <v>9</v>
      </c>
      <c r="L380" s="78" t="s">
        <v>212</v>
      </c>
      <c r="M380" s="75" t="s">
        <v>627</v>
      </c>
      <c r="N380" s="82">
        <v>8895.15</v>
      </c>
    </row>
    <row r="381" spans="2:14" x14ac:dyDescent="0.25">
      <c r="B381" s="74" t="s">
        <v>648</v>
      </c>
      <c r="C381" s="75">
        <v>38239959</v>
      </c>
      <c r="D381" s="75" t="s">
        <v>239</v>
      </c>
      <c r="E381" s="75">
        <v>18</v>
      </c>
      <c r="F381" s="75" t="s">
        <v>240</v>
      </c>
      <c r="G381" s="75" t="s">
        <v>247</v>
      </c>
      <c r="H381" s="75">
        <v>1</v>
      </c>
      <c r="I381" s="76">
        <v>6700</v>
      </c>
      <c r="J381" s="75" t="s">
        <v>262</v>
      </c>
      <c r="K381" s="77">
        <v>9</v>
      </c>
      <c r="L381" s="78" t="s">
        <v>243</v>
      </c>
      <c r="M381" s="75" t="s">
        <v>627</v>
      </c>
      <c r="N381" s="82">
        <v>9045</v>
      </c>
    </row>
    <row r="382" spans="2:14" x14ac:dyDescent="0.25">
      <c r="B382" s="74" t="s">
        <v>649</v>
      </c>
      <c r="C382" s="75">
        <v>64102221</v>
      </c>
      <c r="D382" s="75" t="s">
        <v>239</v>
      </c>
      <c r="E382" s="75">
        <v>30</v>
      </c>
      <c r="F382" s="75" t="s">
        <v>240</v>
      </c>
      <c r="G382" s="75" t="s">
        <v>241</v>
      </c>
      <c r="H382" s="75">
        <v>3</v>
      </c>
      <c r="I382" s="76">
        <v>4798</v>
      </c>
      <c r="J382" s="75" t="s">
        <v>248</v>
      </c>
      <c r="K382" s="77">
        <v>9</v>
      </c>
      <c r="L382" s="78" t="s">
        <v>243</v>
      </c>
      <c r="M382" s="75" t="s">
        <v>627</v>
      </c>
      <c r="N382" s="82">
        <v>6477.3</v>
      </c>
    </row>
    <row r="383" spans="2:14" x14ac:dyDescent="0.25">
      <c r="B383" s="74" t="s">
        <v>650</v>
      </c>
      <c r="C383" s="75">
        <v>42997824</v>
      </c>
      <c r="D383" s="75" t="s">
        <v>239</v>
      </c>
      <c r="E383" s="75">
        <v>36</v>
      </c>
      <c r="F383" s="75" t="s">
        <v>246</v>
      </c>
      <c r="G383" s="75" t="s">
        <v>241</v>
      </c>
      <c r="H383" s="75">
        <v>1</v>
      </c>
      <c r="I383" s="76">
        <v>7193</v>
      </c>
      <c r="J383" s="75" t="s">
        <v>242</v>
      </c>
      <c r="K383" s="77">
        <v>9</v>
      </c>
      <c r="L383" s="78" t="s">
        <v>213</v>
      </c>
      <c r="M383" s="75" t="s">
        <v>627</v>
      </c>
      <c r="N383" s="82">
        <v>9710.5499999999993</v>
      </c>
    </row>
    <row r="384" spans="2:14" x14ac:dyDescent="0.25">
      <c r="B384" s="74" t="s">
        <v>651</v>
      </c>
      <c r="C384" s="75">
        <v>57436465</v>
      </c>
      <c r="D384" s="75" t="s">
        <v>254</v>
      </c>
      <c r="E384" s="75">
        <v>20</v>
      </c>
      <c r="F384" s="75" t="s">
        <v>251</v>
      </c>
      <c r="G384" s="75" t="s">
        <v>252</v>
      </c>
      <c r="H384" s="75">
        <v>1</v>
      </c>
      <c r="I384" s="76">
        <v>4868</v>
      </c>
      <c r="J384" s="75" t="s">
        <v>256</v>
      </c>
      <c r="K384" s="77">
        <v>9</v>
      </c>
      <c r="L384" s="78" t="s">
        <v>214</v>
      </c>
      <c r="M384" s="75" t="s">
        <v>627</v>
      </c>
      <c r="N384" s="82">
        <v>6571.8</v>
      </c>
    </row>
    <row r="385" spans="2:14" x14ac:dyDescent="0.25">
      <c r="B385" s="74" t="s">
        <v>652</v>
      </c>
      <c r="C385" s="75">
        <v>21765880</v>
      </c>
      <c r="D385" s="75" t="s">
        <v>239</v>
      </c>
      <c r="E385" s="75">
        <v>60</v>
      </c>
      <c r="F385" s="75" t="s">
        <v>246</v>
      </c>
      <c r="G385" s="75" t="s">
        <v>241</v>
      </c>
      <c r="H385" s="75">
        <v>1</v>
      </c>
      <c r="I385" s="76">
        <v>4747</v>
      </c>
      <c r="J385" s="75" t="s">
        <v>262</v>
      </c>
      <c r="K385" s="77">
        <v>9</v>
      </c>
      <c r="L385" s="78" t="s">
        <v>209</v>
      </c>
      <c r="M385" s="75" t="s">
        <v>627</v>
      </c>
      <c r="N385" s="82">
        <v>6408.4500000000007</v>
      </c>
    </row>
    <row r="386" spans="2:14" x14ac:dyDescent="0.25">
      <c r="B386" s="74" t="s">
        <v>653</v>
      </c>
      <c r="C386" s="75">
        <v>42655539</v>
      </c>
      <c r="D386" s="75" t="s">
        <v>254</v>
      </c>
      <c r="E386" s="75">
        <v>31</v>
      </c>
      <c r="F386" s="75" t="s">
        <v>255</v>
      </c>
      <c r="G386" s="75" t="s">
        <v>241</v>
      </c>
      <c r="H386" s="75">
        <v>2</v>
      </c>
      <c r="I386" s="76">
        <v>6821</v>
      </c>
      <c r="J386" s="75" t="s">
        <v>242</v>
      </c>
      <c r="K386" s="77">
        <v>9</v>
      </c>
      <c r="L386" s="78" t="s">
        <v>203</v>
      </c>
      <c r="M386" s="75" t="s">
        <v>627</v>
      </c>
      <c r="N386" s="82">
        <v>9208.35</v>
      </c>
    </row>
    <row r="387" spans="2:14" x14ac:dyDescent="0.25">
      <c r="B387" s="74" t="s">
        <v>654</v>
      </c>
      <c r="C387" s="75">
        <v>68622412</v>
      </c>
      <c r="D387" s="75" t="s">
        <v>254</v>
      </c>
      <c r="E387" s="75">
        <v>20</v>
      </c>
      <c r="F387" s="75" t="s">
        <v>240</v>
      </c>
      <c r="G387" s="75" t="s">
        <v>247</v>
      </c>
      <c r="H387" s="75">
        <v>2</v>
      </c>
      <c r="I387" s="76">
        <v>3327</v>
      </c>
      <c r="J387" s="75" t="s">
        <v>262</v>
      </c>
      <c r="K387" s="77">
        <v>8</v>
      </c>
      <c r="L387" s="78" t="s">
        <v>210</v>
      </c>
      <c r="M387" s="75" t="s">
        <v>627</v>
      </c>
      <c r="N387" s="82">
        <v>3992.4000000000005</v>
      </c>
    </row>
    <row r="388" spans="2:14" x14ac:dyDescent="0.25">
      <c r="B388" s="74" t="s">
        <v>655</v>
      </c>
      <c r="C388" s="75">
        <v>42202902</v>
      </c>
      <c r="D388" s="75" t="s">
        <v>239</v>
      </c>
      <c r="E388" s="75">
        <v>51</v>
      </c>
      <c r="F388" s="75" t="s">
        <v>251</v>
      </c>
      <c r="G388" s="75" t="s">
        <v>258</v>
      </c>
      <c r="H388" s="75">
        <v>4</v>
      </c>
      <c r="I388" s="76">
        <v>5471</v>
      </c>
      <c r="J388" s="75" t="s">
        <v>256</v>
      </c>
      <c r="K388" s="77">
        <v>8</v>
      </c>
      <c r="L388" s="78" t="s">
        <v>212</v>
      </c>
      <c r="M388" s="75" t="s">
        <v>627</v>
      </c>
      <c r="N388" s="82">
        <v>6565.2</v>
      </c>
    </row>
    <row r="389" spans="2:14" x14ac:dyDescent="0.25">
      <c r="B389" s="74" t="s">
        <v>656</v>
      </c>
      <c r="C389" s="75">
        <v>47896826</v>
      </c>
      <c r="D389" s="75" t="s">
        <v>254</v>
      </c>
      <c r="E389" s="75">
        <v>43</v>
      </c>
      <c r="F389" s="75" t="s">
        <v>240</v>
      </c>
      <c r="G389" s="75" t="s">
        <v>252</v>
      </c>
      <c r="H389" s="75">
        <v>1</v>
      </c>
      <c r="I389" s="76">
        <v>3789</v>
      </c>
      <c r="J389" s="75" t="s">
        <v>248</v>
      </c>
      <c r="K389" s="77">
        <v>8</v>
      </c>
      <c r="L389" s="78" t="s">
        <v>193</v>
      </c>
      <c r="M389" s="75" t="s">
        <v>627</v>
      </c>
      <c r="N389" s="82">
        <v>4546.8</v>
      </c>
    </row>
    <row r="390" spans="2:14" x14ac:dyDescent="0.25">
      <c r="B390" s="74" t="s">
        <v>657</v>
      </c>
      <c r="C390" s="75">
        <v>63563705</v>
      </c>
      <c r="D390" s="75" t="s">
        <v>254</v>
      </c>
      <c r="E390" s="75">
        <v>46</v>
      </c>
      <c r="F390" s="75" t="s">
        <v>251</v>
      </c>
      <c r="G390" s="75" t="s">
        <v>252</v>
      </c>
      <c r="H390" s="75">
        <v>2</v>
      </c>
      <c r="I390" s="76">
        <v>5830</v>
      </c>
      <c r="J390" s="75" t="s">
        <v>242</v>
      </c>
      <c r="K390" s="77">
        <v>8</v>
      </c>
      <c r="L390" s="78" t="s">
        <v>279</v>
      </c>
      <c r="M390" s="75" t="s">
        <v>627</v>
      </c>
      <c r="N390" s="82">
        <v>6996</v>
      </c>
    </row>
    <row r="391" spans="2:14" x14ac:dyDescent="0.25">
      <c r="B391" s="74" t="s">
        <v>658</v>
      </c>
      <c r="C391" s="75">
        <v>26179516</v>
      </c>
      <c r="D391" s="75" t="s">
        <v>239</v>
      </c>
      <c r="E391" s="75">
        <v>55</v>
      </c>
      <c r="F391" s="75" t="s">
        <v>251</v>
      </c>
      <c r="G391" s="75" t="s">
        <v>258</v>
      </c>
      <c r="H391" s="75">
        <v>3</v>
      </c>
      <c r="I391" s="76">
        <v>8404</v>
      </c>
      <c r="J391" s="75" t="s">
        <v>248</v>
      </c>
      <c r="K391" s="77">
        <v>8</v>
      </c>
      <c r="L391" s="78" t="s">
        <v>279</v>
      </c>
      <c r="M391" s="75" t="s">
        <v>627</v>
      </c>
      <c r="N391" s="82">
        <v>10084.800000000001</v>
      </c>
    </row>
    <row r="392" spans="2:14" x14ac:dyDescent="0.25">
      <c r="B392" s="74" t="s">
        <v>659</v>
      </c>
      <c r="C392" s="75">
        <v>46030106</v>
      </c>
      <c r="D392" s="75" t="s">
        <v>239</v>
      </c>
      <c r="E392" s="75">
        <v>37</v>
      </c>
      <c r="F392" s="75" t="s">
        <v>246</v>
      </c>
      <c r="G392" s="75" t="s">
        <v>258</v>
      </c>
      <c r="H392" s="75">
        <v>2</v>
      </c>
      <c r="I392" s="76">
        <v>8861</v>
      </c>
      <c r="J392" s="75" t="s">
        <v>242</v>
      </c>
      <c r="K392" s="77">
        <v>8</v>
      </c>
      <c r="L392" s="78" t="s">
        <v>271</v>
      </c>
      <c r="M392" s="75" t="s">
        <v>627</v>
      </c>
      <c r="N392" s="82">
        <v>10633.2</v>
      </c>
    </row>
    <row r="393" spans="2:14" x14ac:dyDescent="0.25">
      <c r="B393" s="74" t="s">
        <v>660</v>
      </c>
      <c r="C393" s="75">
        <v>64638342</v>
      </c>
      <c r="D393" s="75" t="s">
        <v>254</v>
      </c>
      <c r="E393" s="75">
        <v>55</v>
      </c>
      <c r="F393" s="75" t="s">
        <v>240</v>
      </c>
      <c r="G393" s="75" t="s">
        <v>252</v>
      </c>
      <c r="H393" s="75">
        <v>0</v>
      </c>
      <c r="I393" s="76">
        <v>2704</v>
      </c>
      <c r="J393" s="75" t="s">
        <v>256</v>
      </c>
      <c r="K393" s="77">
        <v>8</v>
      </c>
      <c r="L393" s="78" t="s">
        <v>213</v>
      </c>
      <c r="M393" s="75" t="s">
        <v>627</v>
      </c>
      <c r="N393" s="82">
        <v>3244.7999999999997</v>
      </c>
    </row>
    <row r="394" spans="2:14" x14ac:dyDescent="0.25">
      <c r="B394" s="74" t="s">
        <v>661</v>
      </c>
      <c r="C394" s="75">
        <v>39050108</v>
      </c>
      <c r="D394" s="75" t="s">
        <v>239</v>
      </c>
      <c r="E394" s="75">
        <v>22</v>
      </c>
      <c r="F394" s="75" t="s">
        <v>255</v>
      </c>
      <c r="G394" s="75" t="s">
        <v>258</v>
      </c>
      <c r="H394" s="75">
        <v>2</v>
      </c>
      <c r="I394" s="76">
        <v>2821</v>
      </c>
      <c r="J394" s="75" t="s">
        <v>262</v>
      </c>
      <c r="K394" s="77">
        <v>8</v>
      </c>
      <c r="L394" s="78" t="s">
        <v>271</v>
      </c>
      <c r="M394" s="75" t="s">
        <v>627</v>
      </c>
      <c r="N394" s="82">
        <v>3385.2000000000003</v>
      </c>
    </row>
    <row r="395" spans="2:14" x14ac:dyDescent="0.25">
      <c r="B395" s="74" t="s">
        <v>662</v>
      </c>
      <c r="C395" s="75">
        <v>62876162</v>
      </c>
      <c r="D395" s="75" t="s">
        <v>254</v>
      </c>
      <c r="E395" s="75">
        <v>32</v>
      </c>
      <c r="F395" s="75" t="s">
        <v>240</v>
      </c>
      <c r="G395" s="75" t="s">
        <v>241</v>
      </c>
      <c r="H395" s="75">
        <v>0</v>
      </c>
      <c r="I395" s="76">
        <v>8975</v>
      </c>
      <c r="J395" s="75" t="s">
        <v>256</v>
      </c>
      <c r="K395" s="77">
        <v>8</v>
      </c>
      <c r="L395" s="78" t="s">
        <v>213</v>
      </c>
      <c r="M395" s="75" t="s">
        <v>627</v>
      </c>
      <c r="N395" s="82">
        <v>10770</v>
      </c>
    </row>
    <row r="396" spans="2:14" x14ac:dyDescent="0.25">
      <c r="B396" s="74" t="s">
        <v>663</v>
      </c>
      <c r="C396" s="75">
        <v>43754618</v>
      </c>
      <c r="D396" s="75" t="s">
        <v>254</v>
      </c>
      <c r="E396" s="75">
        <v>57</v>
      </c>
      <c r="F396" s="75" t="s">
        <v>255</v>
      </c>
      <c r="G396" s="75" t="s">
        <v>241</v>
      </c>
      <c r="H396" s="75">
        <v>1</v>
      </c>
      <c r="I396" s="76">
        <v>6232</v>
      </c>
      <c r="J396" s="75" t="s">
        <v>248</v>
      </c>
      <c r="K396" s="77">
        <v>8</v>
      </c>
      <c r="L396" s="78" t="s">
        <v>213</v>
      </c>
      <c r="M396" s="75" t="s">
        <v>627</v>
      </c>
      <c r="N396" s="82">
        <v>7478.4</v>
      </c>
    </row>
    <row r="397" spans="2:14" x14ac:dyDescent="0.25">
      <c r="B397" s="74" t="s">
        <v>664</v>
      </c>
      <c r="C397" s="75">
        <v>32587402</v>
      </c>
      <c r="D397" s="75" t="s">
        <v>239</v>
      </c>
      <c r="E397" s="75">
        <v>20</v>
      </c>
      <c r="F397" s="75" t="s">
        <v>255</v>
      </c>
      <c r="G397" s="75" t="s">
        <v>258</v>
      </c>
      <c r="H397" s="75">
        <v>2</v>
      </c>
      <c r="I397" s="76">
        <v>8880</v>
      </c>
      <c r="J397" s="75" t="s">
        <v>256</v>
      </c>
      <c r="K397" s="77">
        <v>8</v>
      </c>
      <c r="L397" s="78" t="s">
        <v>193</v>
      </c>
      <c r="M397" s="75" t="s">
        <v>627</v>
      </c>
      <c r="N397" s="82">
        <v>10656</v>
      </c>
    </row>
    <row r="398" spans="2:14" x14ac:dyDescent="0.25">
      <c r="B398" s="74" t="s">
        <v>665</v>
      </c>
      <c r="C398" s="75">
        <v>47648711</v>
      </c>
      <c r="D398" s="75" t="s">
        <v>239</v>
      </c>
      <c r="E398" s="75">
        <v>57</v>
      </c>
      <c r="F398" s="75" t="s">
        <v>251</v>
      </c>
      <c r="G398" s="75" t="s">
        <v>258</v>
      </c>
      <c r="H398" s="75">
        <v>4</v>
      </c>
      <c r="I398" s="76">
        <v>7436</v>
      </c>
      <c r="J398" s="75" t="s">
        <v>248</v>
      </c>
      <c r="K398" s="77">
        <v>8</v>
      </c>
      <c r="L398" s="78" t="s">
        <v>212</v>
      </c>
      <c r="M398" s="75" t="s">
        <v>627</v>
      </c>
      <c r="N398" s="82">
        <v>8923.2000000000007</v>
      </c>
    </row>
    <row r="399" spans="2:14" x14ac:dyDescent="0.25">
      <c r="B399" s="74" t="s">
        <v>666</v>
      </c>
      <c r="C399" s="75">
        <v>56779319</v>
      </c>
      <c r="D399" s="75" t="s">
        <v>254</v>
      </c>
      <c r="E399" s="75">
        <v>35</v>
      </c>
      <c r="F399" s="75" t="s">
        <v>246</v>
      </c>
      <c r="G399" s="75" t="s">
        <v>241</v>
      </c>
      <c r="H399" s="75">
        <v>4</v>
      </c>
      <c r="I399" s="76">
        <v>2005</v>
      </c>
      <c r="J399" s="75" t="s">
        <v>269</v>
      </c>
      <c r="K399" s="77">
        <v>8</v>
      </c>
      <c r="L399" s="78" t="s">
        <v>210</v>
      </c>
      <c r="M399" s="75" t="s">
        <v>627</v>
      </c>
      <c r="N399" s="82">
        <v>2406</v>
      </c>
    </row>
    <row r="400" spans="2:14" x14ac:dyDescent="0.25">
      <c r="B400" s="74" t="s">
        <v>667</v>
      </c>
      <c r="C400" s="75">
        <v>59001783</v>
      </c>
      <c r="D400" s="75" t="s">
        <v>239</v>
      </c>
      <c r="E400" s="75">
        <v>20</v>
      </c>
      <c r="F400" s="75" t="s">
        <v>255</v>
      </c>
      <c r="G400" s="75" t="s">
        <v>247</v>
      </c>
      <c r="H400" s="75">
        <v>3</v>
      </c>
      <c r="I400" s="76">
        <v>7911</v>
      </c>
      <c r="J400" s="75" t="s">
        <v>248</v>
      </c>
      <c r="K400" s="77">
        <v>8</v>
      </c>
      <c r="L400" s="78" t="s">
        <v>203</v>
      </c>
      <c r="M400" s="75" t="s">
        <v>627</v>
      </c>
      <c r="N400" s="82">
        <v>9493.2000000000007</v>
      </c>
    </row>
    <row r="401" spans="2:14" x14ac:dyDescent="0.25">
      <c r="B401" s="74" t="s">
        <v>668</v>
      </c>
      <c r="C401" s="75">
        <v>30181420</v>
      </c>
      <c r="D401" s="75" t="s">
        <v>254</v>
      </c>
      <c r="E401" s="75">
        <v>18</v>
      </c>
      <c r="F401" s="75" t="s">
        <v>251</v>
      </c>
      <c r="G401" s="75" t="s">
        <v>247</v>
      </c>
      <c r="H401" s="75">
        <v>2</v>
      </c>
      <c r="I401" s="76">
        <v>8618</v>
      </c>
      <c r="J401" s="75" t="s">
        <v>242</v>
      </c>
      <c r="K401" s="77">
        <v>8</v>
      </c>
      <c r="L401" s="78" t="s">
        <v>203</v>
      </c>
      <c r="M401" s="75" t="s">
        <v>627</v>
      </c>
      <c r="N401" s="82">
        <v>10341.6</v>
      </c>
    </row>
    <row r="402" spans="2:14" x14ac:dyDescent="0.25">
      <c r="B402" s="74" t="s">
        <v>669</v>
      </c>
      <c r="C402" s="75">
        <v>68126398</v>
      </c>
      <c r="D402" s="75" t="s">
        <v>239</v>
      </c>
      <c r="E402" s="75">
        <v>18</v>
      </c>
      <c r="F402" s="75" t="s">
        <v>251</v>
      </c>
      <c r="G402" s="75" t="s">
        <v>241</v>
      </c>
      <c r="H402" s="75">
        <v>4</v>
      </c>
      <c r="I402" s="76">
        <v>9867</v>
      </c>
      <c r="J402" s="75" t="s">
        <v>256</v>
      </c>
      <c r="K402" s="77">
        <v>8</v>
      </c>
      <c r="L402" s="78" t="s">
        <v>279</v>
      </c>
      <c r="M402" s="75" t="s">
        <v>627</v>
      </c>
      <c r="N402" s="82">
        <v>11840.4</v>
      </c>
    </row>
    <row r="403" spans="2:14" x14ac:dyDescent="0.25">
      <c r="B403" s="74" t="s">
        <v>670</v>
      </c>
      <c r="C403" s="75">
        <v>34816207</v>
      </c>
      <c r="D403" s="75" t="s">
        <v>254</v>
      </c>
      <c r="E403" s="75">
        <v>54</v>
      </c>
      <c r="F403" s="75" t="s">
        <v>255</v>
      </c>
      <c r="G403" s="75" t="s">
        <v>258</v>
      </c>
      <c r="H403" s="75">
        <v>1</v>
      </c>
      <c r="I403" s="76">
        <v>6793</v>
      </c>
      <c r="J403" s="75" t="s">
        <v>256</v>
      </c>
      <c r="K403" s="77">
        <v>8</v>
      </c>
      <c r="L403" s="78" t="s">
        <v>209</v>
      </c>
      <c r="M403" s="75" t="s">
        <v>627</v>
      </c>
      <c r="N403" s="82">
        <v>8151.6</v>
      </c>
    </row>
    <row r="404" spans="2:14" x14ac:dyDescent="0.25">
      <c r="B404" s="74" t="s">
        <v>671</v>
      </c>
      <c r="C404" s="75">
        <v>57827427</v>
      </c>
      <c r="D404" s="75" t="s">
        <v>239</v>
      </c>
      <c r="E404" s="75">
        <v>43</v>
      </c>
      <c r="F404" s="75" t="s">
        <v>246</v>
      </c>
      <c r="G404" s="75" t="s">
        <v>258</v>
      </c>
      <c r="H404" s="75">
        <v>2</v>
      </c>
      <c r="I404" s="76">
        <v>7313</v>
      </c>
      <c r="J404" s="75" t="s">
        <v>248</v>
      </c>
      <c r="K404" s="77">
        <v>8</v>
      </c>
      <c r="L404" s="78" t="s">
        <v>271</v>
      </c>
      <c r="M404" s="75" t="s">
        <v>627</v>
      </c>
      <c r="N404" s="82">
        <v>8775.5999999999985</v>
      </c>
    </row>
    <row r="405" spans="2:14" x14ac:dyDescent="0.25">
      <c r="B405" s="74" t="s">
        <v>672</v>
      </c>
      <c r="C405" s="75">
        <v>47975484</v>
      </c>
      <c r="D405" s="75" t="s">
        <v>239</v>
      </c>
      <c r="E405" s="75">
        <v>27</v>
      </c>
      <c r="F405" s="75" t="s">
        <v>255</v>
      </c>
      <c r="G405" s="75" t="s">
        <v>247</v>
      </c>
      <c r="H405" s="75">
        <v>2</v>
      </c>
      <c r="I405" s="76">
        <v>9080</v>
      </c>
      <c r="J405" s="75" t="s">
        <v>242</v>
      </c>
      <c r="K405" s="77">
        <v>7</v>
      </c>
      <c r="L405" s="78" t="s">
        <v>215</v>
      </c>
      <c r="M405" s="75" t="s">
        <v>627</v>
      </c>
      <c r="N405" s="82">
        <v>9534</v>
      </c>
    </row>
    <row r="406" spans="2:14" x14ac:dyDescent="0.25">
      <c r="B406" s="74" t="s">
        <v>673</v>
      </c>
      <c r="C406" s="75">
        <v>33809304</v>
      </c>
      <c r="D406" s="75" t="s">
        <v>254</v>
      </c>
      <c r="E406" s="75">
        <v>38</v>
      </c>
      <c r="F406" s="75" t="s">
        <v>246</v>
      </c>
      <c r="G406" s="75" t="s">
        <v>258</v>
      </c>
      <c r="H406" s="75">
        <v>1</v>
      </c>
      <c r="I406" s="76">
        <v>3899</v>
      </c>
      <c r="J406" s="75" t="s">
        <v>242</v>
      </c>
      <c r="K406" s="77">
        <v>7</v>
      </c>
      <c r="L406" s="78" t="s">
        <v>271</v>
      </c>
      <c r="M406" s="75" t="s">
        <v>627</v>
      </c>
      <c r="N406" s="82">
        <v>4093.9500000000003</v>
      </c>
    </row>
    <row r="407" spans="2:14" x14ac:dyDescent="0.25">
      <c r="B407" s="74" t="s">
        <v>674</v>
      </c>
      <c r="C407" s="75">
        <v>42071298</v>
      </c>
      <c r="D407" s="75" t="s">
        <v>254</v>
      </c>
      <c r="E407" s="75">
        <v>56</v>
      </c>
      <c r="F407" s="75" t="s">
        <v>240</v>
      </c>
      <c r="G407" s="75" t="s">
        <v>241</v>
      </c>
      <c r="H407" s="75">
        <v>2</v>
      </c>
      <c r="I407" s="76">
        <v>8822</v>
      </c>
      <c r="J407" s="75" t="s">
        <v>262</v>
      </c>
      <c r="K407" s="77">
        <v>7</v>
      </c>
      <c r="L407" s="78" t="s">
        <v>215</v>
      </c>
      <c r="M407" s="75" t="s">
        <v>627</v>
      </c>
      <c r="N407" s="82">
        <v>9263.0999999999985</v>
      </c>
    </row>
    <row r="408" spans="2:14" x14ac:dyDescent="0.25">
      <c r="B408" s="74" t="s">
        <v>675</v>
      </c>
      <c r="C408" s="75">
        <v>55151446</v>
      </c>
      <c r="D408" s="75" t="s">
        <v>239</v>
      </c>
      <c r="E408" s="75">
        <v>65</v>
      </c>
      <c r="F408" s="75" t="s">
        <v>251</v>
      </c>
      <c r="G408" s="75" t="s">
        <v>247</v>
      </c>
      <c r="H408" s="75">
        <v>1</v>
      </c>
      <c r="I408" s="76">
        <v>2472</v>
      </c>
      <c r="J408" s="75" t="s">
        <v>248</v>
      </c>
      <c r="K408" s="77">
        <v>7</v>
      </c>
      <c r="L408" s="78" t="s">
        <v>279</v>
      </c>
      <c r="M408" s="75" t="s">
        <v>627</v>
      </c>
      <c r="N408" s="82">
        <v>2595.6</v>
      </c>
    </row>
    <row r="409" spans="2:14" x14ac:dyDescent="0.25">
      <c r="B409" s="74" t="s">
        <v>676</v>
      </c>
      <c r="C409" s="75">
        <v>50831366</v>
      </c>
      <c r="D409" s="75" t="s">
        <v>239</v>
      </c>
      <c r="E409" s="75">
        <v>20</v>
      </c>
      <c r="F409" s="75" t="s">
        <v>255</v>
      </c>
      <c r="G409" s="75" t="s">
        <v>241</v>
      </c>
      <c r="H409" s="75">
        <v>1</v>
      </c>
      <c r="I409" s="76">
        <v>6607</v>
      </c>
      <c r="J409" s="75" t="s">
        <v>242</v>
      </c>
      <c r="K409" s="77">
        <v>7</v>
      </c>
      <c r="L409" s="78" t="s">
        <v>215</v>
      </c>
      <c r="M409" s="75" t="s">
        <v>627</v>
      </c>
      <c r="N409" s="82">
        <v>6937.35</v>
      </c>
    </row>
    <row r="410" spans="2:14" x14ac:dyDescent="0.25">
      <c r="B410" s="74" t="s">
        <v>677</v>
      </c>
      <c r="C410" s="75">
        <v>53631912</v>
      </c>
      <c r="D410" s="75" t="s">
        <v>254</v>
      </c>
      <c r="E410" s="75">
        <v>55</v>
      </c>
      <c r="F410" s="75" t="s">
        <v>255</v>
      </c>
      <c r="G410" s="75" t="s">
        <v>258</v>
      </c>
      <c r="H410" s="75">
        <v>4</v>
      </c>
      <c r="I410" s="76">
        <v>9077</v>
      </c>
      <c r="J410" s="75" t="s">
        <v>256</v>
      </c>
      <c r="K410" s="77">
        <v>7</v>
      </c>
      <c r="L410" s="78" t="s">
        <v>279</v>
      </c>
      <c r="M410" s="75" t="s">
        <v>627</v>
      </c>
      <c r="N410" s="82">
        <v>9530.85</v>
      </c>
    </row>
    <row r="411" spans="2:14" x14ac:dyDescent="0.25">
      <c r="B411" s="74" t="s">
        <v>678</v>
      </c>
      <c r="C411" s="75">
        <v>34578197</v>
      </c>
      <c r="D411" s="75" t="s">
        <v>239</v>
      </c>
      <c r="E411" s="75">
        <v>54</v>
      </c>
      <c r="F411" s="75" t="s">
        <v>246</v>
      </c>
      <c r="G411" s="75" t="s">
        <v>252</v>
      </c>
      <c r="H411" s="75">
        <v>0</v>
      </c>
      <c r="I411" s="76">
        <v>2749</v>
      </c>
      <c r="J411" s="75" t="s">
        <v>256</v>
      </c>
      <c r="K411" s="77">
        <v>7</v>
      </c>
      <c r="L411" s="78" t="s">
        <v>214</v>
      </c>
      <c r="M411" s="75" t="s">
        <v>627</v>
      </c>
      <c r="N411" s="82">
        <v>2886.4500000000003</v>
      </c>
    </row>
    <row r="412" spans="2:14" x14ac:dyDescent="0.25">
      <c r="B412" s="74" t="s">
        <v>679</v>
      </c>
      <c r="C412" s="75">
        <v>23418930</v>
      </c>
      <c r="D412" s="75" t="s">
        <v>254</v>
      </c>
      <c r="E412" s="75">
        <v>61</v>
      </c>
      <c r="F412" s="75" t="s">
        <v>251</v>
      </c>
      <c r="G412" s="75" t="s">
        <v>247</v>
      </c>
      <c r="H412" s="75">
        <v>4</v>
      </c>
      <c r="I412" s="76">
        <v>3406</v>
      </c>
      <c r="J412" s="75" t="s">
        <v>262</v>
      </c>
      <c r="K412" s="77">
        <v>7</v>
      </c>
      <c r="L412" s="78" t="s">
        <v>209</v>
      </c>
      <c r="M412" s="75" t="s">
        <v>627</v>
      </c>
      <c r="N412" s="82">
        <v>3576.2999999999997</v>
      </c>
    </row>
    <row r="413" spans="2:14" x14ac:dyDescent="0.25">
      <c r="B413" s="74" t="s">
        <v>680</v>
      </c>
      <c r="C413" s="75">
        <v>61985596</v>
      </c>
      <c r="D413" s="75" t="s">
        <v>254</v>
      </c>
      <c r="E413" s="75">
        <v>64</v>
      </c>
      <c r="F413" s="75" t="s">
        <v>255</v>
      </c>
      <c r="G413" s="75" t="s">
        <v>258</v>
      </c>
      <c r="H413" s="75">
        <v>0</v>
      </c>
      <c r="I413" s="76">
        <v>9463</v>
      </c>
      <c r="J413" s="75" t="s">
        <v>248</v>
      </c>
      <c r="K413" s="77">
        <v>7</v>
      </c>
      <c r="L413" s="78" t="s">
        <v>215</v>
      </c>
      <c r="M413" s="75" t="s">
        <v>627</v>
      </c>
      <c r="N413" s="82">
        <v>9936.15</v>
      </c>
    </row>
    <row r="414" spans="2:14" x14ac:dyDescent="0.25">
      <c r="B414" s="74" t="s">
        <v>681</v>
      </c>
      <c r="C414" s="75">
        <v>67970814</v>
      </c>
      <c r="D414" s="75" t="s">
        <v>239</v>
      </c>
      <c r="E414" s="75">
        <v>48</v>
      </c>
      <c r="F414" s="75" t="s">
        <v>246</v>
      </c>
      <c r="G414" s="75" t="s">
        <v>247</v>
      </c>
      <c r="H414" s="75">
        <v>2</v>
      </c>
      <c r="I414" s="76">
        <v>3565</v>
      </c>
      <c r="J414" s="75" t="s">
        <v>262</v>
      </c>
      <c r="K414" s="77">
        <v>6</v>
      </c>
      <c r="L414" s="78" t="s">
        <v>243</v>
      </c>
      <c r="M414" s="75" t="s">
        <v>627</v>
      </c>
      <c r="N414" s="82">
        <v>3208.5</v>
      </c>
    </row>
    <row r="415" spans="2:14" x14ac:dyDescent="0.25">
      <c r="B415" s="74" t="s">
        <v>682</v>
      </c>
      <c r="C415" s="75">
        <v>38491832</v>
      </c>
      <c r="D415" s="75" t="s">
        <v>239</v>
      </c>
      <c r="E415" s="75">
        <v>40</v>
      </c>
      <c r="F415" s="75" t="s">
        <v>246</v>
      </c>
      <c r="G415" s="75" t="s">
        <v>241</v>
      </c>
      <c r="H415" s="75">
        <v>1</v>
      </c>
      <c r="I415" s="76">
        <v>5244</v>
      </c>
      <c r="J415" s="75" t="s">
        <v>269</v>
      </c>
      <c r="K415" s="77">
        <v>6</v>
      </c>
      <c r="L415" s="78" t="s">
        <v>193</v>
      </c>
      <c r="M415" s="75" t="s">
        <v>627</v>
      </c>
      <c r="N415" s="82">
        <v>4719.5999999999995</v>
      </c>
    </row>
    <row r="416" spans="2:14" x14ac:dyDescent="0.25">
      <c r="B416" s="74" t="s">
        <v>683</v>
      </c>
      <c r="C416" s="75">
        <v>49251188</v>
      </c>
      <c r="D416" s="75" t="s">
        <v>254</v>
      </c>
      <c r="E416" s="75">
        <v>40</v>
      </c>
      <c r="F416" s="75" t="s">
        <v>240</v>
      </c>
      <c r="G416" s="75" t="s">
        <v>247</v>
      </c>
      <c r="H416" s="75">
        <v>0</v>
      </c>
      <c r="I416" s="76">
        <v>9538</v>
      </c>
      <c r="J416" s="75" t="s">
        <v>242</v>
      </c>
      <c r="K416" s="77">
        <v>6</v>
      </c>
      <c r="L416" s="78" t="s">
        <v>279</v>
      </c>
      <c r="M416" s="75" t="s">
        <v>627</v>
      </c>
      <c r="N416" s="82">
        <v>8584.1999999999989</v>
      </c>
    </row>
    <row r="417" spans="2:14" x14ac:dyDescent="0.25">
      <c r="B417" s="74" t="s">
        <v>684</v>
      </c>
      <c r="C417" s="75">
        <v>40459033</v>
      </c>
      <c r="D417" s="75" t="s">
        <v>239</v>
      </c>
      <c r="E417" s="75">
        <v>45</v>
      </c>
      <c r="F417" s="75" t="s">
        <v>240</v>
      </c>
      <c r="G417" s="75" t="s">
        <v>241</v>
      </c>
      <c r="H417" s="75">
        <v>2</v>
      </c>
      <c r="I417" s="76">
        <v>7754</v>
      </c>
      <c r="J417" s="75" t="s">
        <v>269</v>
      </c>
      <c r="K417" s="77">
        <v>6</v>
      </c>
      <c r="L417" s="78" t="s">
        <v>243</v>
      </c>
      <c r="M417" s="75" t="s">
        <v>627</v>
      </c>
      <c r="N417" s="82">
        <v>6978.6</v>
      </c>
    </row>
    <row r="418" spans="2:14" x14ac:dyDescent="0.25">
      <c r="B418" s="74" t="s">
        <v>685</v>
      </c>
      <c r="C418" s="75">
        <v>61846055</v>
      </c>
      <c r="D418" s="75" t="s">
        <v>239</v>
      </c>
      <c r="E418" s="75">
        <v>44</v>
      </c>
      <c r="F418" s="75" t="s">
        <v>255</v>
      </c>
      <c r="G418" s="75" t="s">
        <v>241</v>
      </c>
      <c r="H418" s="75">
        <v>2</v>
      </c>
      <c r="I418" s="76">
        <v>2418</v>
      </c>
      <c r="J418" s="75" t="s">
        <v>256</v>
      </c>
      <c r="K418" s="77">
        <v>6</v>
      </c>
      <c r="L418" s="78" t="s">
        <v>203</v>
      </c>
      <c r="M418" s="75" t="s">
        <v>627</v>
      </c>
      <c r="N418" s="82">
        <v>2176.2000000000003</v>
      </c>
    </row>
    <row r="419" spans="2:14" x14ac:dyDescent="0.25">
      <c r="B419" s="74" t="s">
        <v>686</v>
      </c>
      <c r="C419" s="75">
        <v>63820696</v>
      </c>
      <c r="D419" s="75" t="s">
        <v>254</v>
      </c>
      <c r="E419" s="75">
        <v>44</v>
      </c>
      <c r="F419" s="75" t="s">
        <v>240</v>
      </c>
      <c r="G419" s="75" t="s">
        <v>247</v>
      </c>
      <c r="H419" s="75">
        <v>4</v>
      </c>
      <c r="I419" s="76">
        <v>2160</v>
      </c>
      <c r="J419" s="75" t="s">
        <v>248</v>
      </c>
      <c r="K419" s="77">
        <v>6</v>
      </c>
      <c r="L419" s="78" t="s">
        <v>263</v>
      </c>
      <c r="M419" s="75" t="s">
        <v>627</v>
      </c>
      <c r="N419" s="82">
        <v>1944</v>
      </c>
    </row>
    <row r="420" spans="2:14" x14ac:dyDescent="0.25">
      <c r="B420" s="74" t="s">
        <v>687</v>
      </c>
      <c r="C420" s="75">
        <v>56235523</v>
      </c>
      <c r="D420" s="75" t="s">
        <v>239</v>
      </c>
      <c r="E420" s="75">
        <v>32</v>
      </c>
      <c r="F420" s="75" t="s">
        <v>255</v>
      </c>
      <c r="G420" s="75" t="s">
        <v>247</v>
      </c>
      <c r="H420" s="75">
        <v>2</v>
      </c>
      <c r="I420" s="76">
        <v>9397</v>
      </c>
      <c r="J420" s="75" t="s">
        <v>242</v>
      </c>
      <c r="K420" s="77">
        <v>6</v>
      </c>
      <c r="L420" s="78" t="s">
        <v>210</v>
      </c>
      <c r="M420" s="75" t="s">
        <v>627</v>
      </c>
      <c r="N420" s="82">
        <v>8457.3000000000011</v>
      </c>
    </row>
    <row r="421" spans="2:14" x14ac:dyDescent="0.25">
      <c r="B421" s="74" t="s">
        <v>688</v>
      </c>
      <c r="C421" s="75">
        <v>43310741</v>
      </c>
      <c r="D421" s="75" t="s">
        <v>239</v>
      </c>
      <c r="E421" s="75">
        <v>63</v>
      </c>
      <c r="F421" s="75" t="s">
        <v>246</v>
      </c>
      <c r="G421" s="75" t="s">
        <v>241</v>
      </c>
      <c r="H421" s="75">
        <v>1</v>
      </c>
      <c r="I421" s="76">
        <v>7027</v>
      </c>
      <c r="J421" s="75" t="s">
        <v>256</v>
      </c>
      <c r="K421" s="77">
        <v>6</v>
      </c>
      <c r="L421" s="78" t="s">
        <v>210</v>
      </c>
      <c r="M421" s="75" t="s">
        <v>627</v>
      </c>
      <c r="N421" s="82">
        <v>6324.3</v>
      </c>
    </row>
    <row r="422" spans="2:14" x14ac:dyDescent="0.25">
      <c r="B422" s="74" t="s">
        <v>689</v>
      </c>
      <c r="C422" s="75">
        <v>28617579</v>
      </c>
      <c r="D422" s="75" t="s">
        <v>239</v>
      </c>
      <c r="E422" s="75">
        <v>22</v>
      </c>
      <c r="F422" s="75" t="s">
        <v>240</v>
      </c>
      <c r="G422" s="75" t="s">
        <v>247</v>
      </c>
      <c r="H422" s="75">
        <v>1</v>
      </c>
      <c r="I422" s="76">
        <v>5217</v>
      </c>
      <c r="J422" s="75" t="s">
        <v>269</v>
      </c>
      <c r="K422" s="77">
        <v>6</v>
      </c>
      <c r="L422" s="78" t="s">
        <v>271</v>
      </c>
      <c r="M422" s="75" t="s">
        <v>627</v>
      </c>
      <c r="N422" s="82">
        <v>4695.2999999999993</v>
      </c>
    </row>
    <row r="423" spans="2:14" x14ac:dyDescent="0.25">
      <c r="B423" s="74" t="s">
        <v>690</v>
      </c>
      <c r="C423" s="75">
        <v>55445133</v>
      </c>
      <c r="D423" s="75" t="s">
        <v>254</v>
      </c>
      <c r="E423" s="75">
        <v>40</v>
      </c>
      <c r="F423" s="75" t="s">
        <v>246</v>
      </c>
      <c r="G423" s="75" t="s">
        <v>252</v>
      </c>
      <c r="H423" s="75">
        <v>1</v>
      </c>
      <c r="I423" s="76">
        <v>2428</v>
      </c>
      <c r="J423" s="75" t="s">
        <v>269</v>
      </c>
      <c r="K423" s="77">
        <v>6</v>
      </c>
      <c r="L423" s="78" t="s">
        <v>271</v>
      </c>
      <c r="M423" s="75" t="s">
        <v>627</v>
      </c>
      <c r="N423" s="82">
        <v>2185.2000000000003</v>
      </c>
    </row>
    <row r="424" spans="2:14" x14ac:dyDescent="0.25">
      <c r="B424" s="74" t="s">
        <v>691</v>
      </c>
      <c r="C424" s="75">
        <v>25646227</v>
      </c>
      <c r="D424" s="75" t="s">
        <v>239</v>
      </c>
      <c r="E424" s="75">
        <v>54</v>
      </c>
      <c r="F424" s="75" t="s">
        <v>255</v>
      </c>
      <c r="G424" s="75" t="s">
        <v>252</v>
      </c>
      <c r="H424" s="75">
        <v>3</v>
      </c>
      <c r="I424" s="76">
        <v>7193</v>
      </c>
      <c r="J424" s="75" t="s">
        <v>242</v>
      </c>
      <c r="K424" s="77">
        <v>6</v>
      </c>
      <c r="L424" s="78" t="s">
        <v>279</v>
      </c>
      <c r="M424" s="75" t="s">
        <v>627</v>
      </c>
      <c r="N424" s="82">
        <v>6473.7</v>
      </c>
    </row>
    <row r="425" spans="2:14" x14ac:dyDescent="0.25">
      <c r="B425" s="74" t="s">
        <v>692</v>
      </c>
      <c r="C425" s="75">
        <v>25252103</v>
      </c>
      <c r="D425" s="75" t="s">
        <v>254</v>
      </c>
      <c r="E425" s="75">
        <v>22</v>
      </c>
      <c r="F425" s="75" t="s">
        <v>246</v>
      </c>
      <c r="G425" s="75" t="s">
        <v>258</v>
      </c>
      <c r="H425" s="75">
        <v>0</v>
      </c>
      <c r="I425" s="76">
        <v>7134</v>
      </c>
      <c r="J425" s="75" t="s">
        <v>256</v>
      </c>
      <c r="K425" s="77">
        <v>6</v>
      </c>
      <c r="L425" s="78" t="s">
        <v>193</v>
      </c>
      <c r="M425" s="75" t="s">
        <v>627</v>
      </c>
      <c r="N425" s="82">
        <v>6420.6</v>
      </c>
    </row>
    <row r="426" spans="2:14" x14ac:dyDescent="0.25">
      <c r="B426" s="74" t="s">
        <v>693</v>
      </c>
      <c r="C426" s="75">
        <v>22781060</v>
      </c>
      <c r="D426" s="75" t="s">
        <v>254</v>
      </c>
      <c r="E426" s="75">
        <v>22</v>
      </c>
      <c r="F426" s="75" t="s">
        <v>251</v>
      </c>
      <c r="G426" s="75" t="s">
        <v>258</v>
      </c>
      <c r="H426" s="75">
        <v>0</v>
      </c>
      <c r="I426" s="76">
        <v>5412</v>
      </c>
      <c r="J426" s="75" t="s">
        <v>248</v>
      </c>
      <c r="K426" s="77">
        <v>6</v>
      </c>
      <c r="L426" s="78" t="s">
        <v>263</v>
      </c>
      <c r="M426" s="75" t="s">
        <v>627</v>
      </c>
      <c r="N426" s="82">
        <v>4870.8</v>
      </c>
    </row>
    <row r="427" spans="2:14" x14ac:dyDescent="0.25">
      <c r="B427" s="74" t="s">
        <v>694</v>
      </c>
      <c r="C427" s="75">
        <v>26109078</v>
      </c>
      <c r="D427" s="75" t="s">
        <v>254</v>
      </c>
      <c r="E427" s="75">
        <v>34</v>
      </c>
      <c r="F427" s="75" t="s">
        <v>240</v>
      </c>
      <c r="G427" s="75" t="s">
        <v>258</v>
      </c>
      <c r="H427" s="75">
        <v>2</v>
      </c>
      <c r="I427" s="76">
        <v>2350</v>
      </c>
      <c r="J427" s="75" t="s">
        <v>248</v>
      </c>
      <c r="K427" s="77">
        <v>5</v>
      </c>
      <c r="L427" s="78" t="s">
        <v>279</v>
      </c>
      <c r="M427" s="75" t="s">
        <v>627</v>
      </c>
      <c r="N427" s="82">
        <v>1762.5</v>
      </c>
    </row>
    <row r="428" spans="2:14" x14ac:dyDescent="0.25">
      <c r="B428" s="74" t="s">
        <v>695</v>
      </c>
      <c r="C428" s="75">
        <v>50495869</v>
      </c>
      <c r="D428" s="75" t="s">
        <v>254</v>
      </c>
      <c r="E428" s="75">
        <v>28</v>
      </c>
      <c r="F428" s="75" t="s">
        <v>246</v>
      </c>
      <c r="G428" s="75" t="s">
        <v>247</v>
      </c>
      <c r="H428" s="75">
        <v>1</v>
      </c>
      <c r="I428" s="76">
        <v>6102</v>
      </c>
      <c r="J428" s="75" t="s">
        <v>269</v>
      </c>
      <c r="K428" s="77">
        <v>5</v>
      </c>
      <c r="L428" s="78" t="s">
        <v>263</v>
      </c>
      <c r="M428" s="75" t="s">
        <v>627</v>
      </c>
      <c r="N428" s="82">
        <v>4576.5</v>
      </c>
    </row>
    <row r="429" spans="2:14" x14ac:dyDescent="0.25">
      <c r="B429" s="74" t="s">
        <v>696</v>
      </c>
      <c r="C429" s="75">
        <v>38991619</v>
      </c>
      <c r="D429" s="75" t="s">
        <v>254</v>
      </c>
      <c r="E429" s="75">
        <v>56</v>
      </c>
      <c r="F429" s="75" t="s">
        <v>255</v>
      </c>
      <c r="G429" s="75" t="s">
        <v>252</v>
      </c>
      <c r="H429" s="75">
        <v>3</v>
      </c>
      <c r="I429" s="76">
        <v>5678</v>
      </c>
      <c r="J429" s="75" t="s">
        <v>269</v>
      </c>
      <c r="K429" s="77">
        <v>5</v>
      </c>
      <c r="L429" s="78" t="s">
        <v>203</v>
      </c>
      <c r="M429" s="75" t="s">
        <v>627</v>
      </c>
      <c r="N429" s="82">
        <v>4258.5</v>
      </c>
    </row>
    <row r="430" spans="2:14" x14ac:dyDescent="0.25">
      <c r="B430" s="74" t="s">
        <v>697</v>
      </c>
      <c r="C430" s="75">
        <v>63598865</v>
      </c>
      <c r="D430" s="75" t="s">
        <v>239</v>
      </c>
      <c r="E430" s="75">
        <v>25</v>
      </c>
      <c r="F430" s="75" t="s">
        <v>240</v>
      </c>
      <c r="G430" s="75" t="s">
        <v>241</v>
      </c>
      <c r="H430" s="75">
        <v>3</v>
      </c>
      <c r="I430" s="76">
        <v>7751</v>
      </c>
      <c r="J430" s="75" t="s">
        <v>256</v>
      </c>
      <c r="K430" s="77">
        <v>5</v>
      </c>
      <c r="L430" s="78" t="s">
        <v>263</v>
      </c>
      <c r="M430" s="75" t="s">
        <v>627</v>
      </c>
      <c r="N430" s="82">
        <v>5813.25</v>
      </c>
    </row>
    <row r="431" spans="2:14" x14ac:dyDescent="0.25">
      <c r="B431" s="74" t="s">
        <v>698</v>
      </c>
      <c r="C431" s="75">
        <v>50446273</v>
      </c>
      <c r="D431" s="75" t="s">
        <v>239</v>
      </c>
      <c r="E431" s="75">
        <v>49</v>
      </c>
      <c r="F431" s="75" t="s">
        <v>255</v>
      </c>
      <c r="G431" s="75" t="s">
        <v>258</v>
      </c>
      <c r="H431" s="75">
        <v>4</v>
      </c>
      <c r="I431" s="76">
        <v>2909</v>
      </c>
      <c r="J431" s="75" t="s">
        <v>256</v>
      </c>
      <c r="K431" s="77">
        <v>5</v>
      </c>
      <c r="L431" s="78" t="s">
        <v>193</v>
      </c>
      <c r="M431" s="75" t="s">
        <v>627</v>
      </c>
      <c r="N431" s="82">
        <v>2181.75</v>
      </c>
    </row>
    <row r="432" spans="2:14" x14ac:dyDescent="0.25">
      <c r="B432" s="74" t="s">
        <v>699</v>
      </c>
      <c r="C432" s="75">
        <v>45216701</v>
      </c>
      <c r="D432" s="75" t="s">
        <v>239</v>
      </c>
      <c r="E432" s="75">
        <v>20</v>
      </c>
      <c r="F432" s="75" t="s">
        <v>251</v>
      </c>
      <c r="G432" s="75" t="s">
        <v>247</v>
      </c>
      <c r="H432" s="75">
        <v>0</v>
      </c>
      <c r="I432" s="76">
        <v>4880</v>
      </c>
      <c r="J432" s="75" t="s">
        <v>242</v>
      </c>
      <c r="K432" s="77">
        <v>5</v>
      </c>
      <c r="L432" s="78" t="s">
        <v>209</v>
      </c>
      <c r="M432" s="75" t="s">
        <v>627</v>
      </c>
      <c r="N432" s="82">
        <v>3660</v>
      </c>
    </row>
    <row r="433" spans="2:14" x14ac:dyDescent="0.25">
      <c r="B433" s="74" t="s">
        <v>700</v>
      </c>
      <c r="C433" s="75">
        <v>63170617</v>
      </c>
      <c r="D433" s="75" t="s">
        <v>254</v>
      </c>
      <c r="E433" s="75">
        <v>51</v>
      </c>
      <c r="F433" s="75" t="s">
        <v>255</v>
      </c>
      <c r="G433" s="75" t="s">
        <v>252</v>
      </c>
      <c r="H433" s="75">
        <v>2</v>
      </c>
      <c r="I433" s="76">
        <v>8957</v>
      </c>
      <c r="J433" s="75" t="s">
        <v>262</v>
      </c>
      <c r="K433" s="77">
        <v>5</v>
      </c>
      <c r="L433" s="78" t="s">
        <v>279</v>
      </c>
      <c r="M433" s="75" t="s">
        <v>627</v>
      </c>
      <c r="N433" s="82">
        <v>6717.75</v>
      </c>
    </row>
    <row r="434" spans="2:14" x14ac:dyDescent="0.25">
      <c r="B434" s="74" t="s">
        <v>701</v>
      </c>
      <c r="C434" s="75">
        <v>24237889</v>
      </c>
      <c r="D434" s="75" t="s">
        <v>239</v>
      </c>
      <c r="E434" s="75">
        <v>40</v>
      </c>
      <c r="F434" s="75" t="s">
        <v>246</v>
      </c>
      <c r="G434" s="75" t="s">
        <v>241</v>
      </c>
      <c r="H434" s="75">
        <v>1</v>
      </c>
      <c r="I434" s="76">
        <v>9610</v>
      </c>
      <c r="J434" s="75" t="s">
        <v>248</v>
      </c>
      <c r="K434" s="77">
        <v>5</v>
      </c>
      <c r="L434" s="78" t="s">
        <v>279</v>
      </c>
      <c r="M434" s="75" t="s">
        <v>627</v>
      </c>
      <c r="N434" s="82">
        <v>7207.5</v>
      </c>
    </row>
    <row r="435" spans="2:14" x14ac:dyDescent="0.25">
      <c r="B435" s="74" t="s">
        <v>702</v>
      </c>
      <c r="C435" s="75">
        <v>35132528</v>
      </c>
      <c r="D435" s="75" t="s">
        <v>254</v>
      </c>
      <c r="E435" s="75">
        <v>28</v>
      </c>
      <c r="F435" s="75" t="s">
        <v>255</v>
      </c>
      <c r="G435" s="75" t="s">
        <v>241</v>
      </c>
      <c r="H435" s="75">
        <v>2</v>
      </c>
      <c r="I435" s="76">
        <v>7172</v>
      </c>
      <c r="J435" s="75" t="s">
        <v>242</v>
      </c>
      <c r="K435" s="77">
        <v>5</v>
      </c>
      <c r="L435" s="78" t="s">
        <v>279</v>
      </c>
      <c r="M435" s="75" t="s">
        <v>627</v>
      </c>
      <c r="N435" s="82">
        <v>5379</v>
      </c>
    </row>
    <row r="436" spans="2:14" x14ac:dyDescent="0.25">
      <c r="B436" s="74" t="s">
        <v>703</v>
      </c>
      <c r="C436" s="75">
        <v>40465606</v>
      </c>
      <c r="D436" s="75" t="s">
        <v>239</v>
      </c>
      <c r="E436" s="75">
        <v>55</v>
      </c>
      <c r="F436" s="75" t="s">
        <v>246</v>
      </c>
      <c r="G436" s="75" t="s">
        <v>252</v>
      </c>
      <c r="H436" s="75">
        <v>2</v>
      </c>
      <c r="I436" s="76">
        <v>8981</v>
      </c>
      <c r="J436" s="75" t="s">
        <v>262</v>
      </c>
      <c r="K436" s="77">
        <v>5</v>
      </c>
      <c r="L436" s="78" t="s">
        <v>209</v>
      </c>
      <c r="M436" s="75" t="s">
        <v>627</v>
      </c>
      <c r="N436" s="82">
        <v>6735.75</v>
      </c>
    </row>
    <row r="437" spans="2:14" x14ac:dyDescent="0.25">
      <c r="B437" s="74" t="s">
        <v>704</v>
      </c>
      <c r="C437" s="75">
        <v>42279613</v>
      </c>
      <c r="D437" s="75" t="s">
        <v>254</v>
      </c>
      <c r="E437" s="75">
        <v>63</v>
      </c>
      <c r="F437" s="75" t="s">
        <v>240</v>
      </c>
      <c r="G437" s="75" t="s">
        <v>241</v>
      </c>
      <c r="H437" s="75">
        <v>1</v>
      </c>
      <c r="I437" s="76">
        <v>6316</v>
      </c>
      <c r="J437" s="75" t="s">
        <v>269</v>
      </c>
      <c r="K437" s="77">
        <v>5</v>
      </c>
      <c r="L437" s="78" t="s">
        <v>271</v>
      </c>
      <c r="M437" s="75" t="s">
        <v>627</v>
      </c>
      <c r="N437" s="82">
        <v>4737</v>
      </c>
    </row>
    <row r="438" spans="2:14" x14ac:dyDescent="0.25">
      <c r="B438" s="74" t="s">
        <v>705</v>
      </c>
      <c r="C438" s="75">
        <v>54828455</v>
      </c>
      <c r="D438" s="75" t="s">
        <v>254</v>
      </c>
      <c r="E438" s="75">
        <v>63</v>
      </c>
      <c r="F438" s="75" t="s">
        <v>240</v>
      </c>
      <c r="G438" s="75" t="s">
        <v>252</v>
      </c>
      <c r="H438" s="75">
        <v>3</v>
      </c>
      <c r="I438" s="76">
        <v>6233</v>
      </c>
      <c r="J438" s="75" t="s">
        <v>242</v>
      </c>
      <c r="K438" s="77">
        <v>5</v>
      </c>
      <c r="L438" s="78" t="s">
        <v>193</v>
      </c>
      <c r="M438" s="75" t="s">
        <v>627</v>
      </c>
      <c r="N438" s="82">
        <v>4674.75</v>
      </c>
    </row>
    <row r="439" spans="2:14" x14ac:dyDescent="0.25">
      <c r="B439" s="74" t="s">
        <v>706</v>
      </c>
      <c r="C439" s="75">
        <v>27871737</v>
      </c>
      <c r="D439" s="75" t="s">
        <v>239</v>
      </c>
      <c r="E439" s="75">
        <v>38</v>
      </c>
      <c r="F439" s="75" t="s">
        <v>255</v>
      </c>
      <c r="G439" s="75" t="s">
        <v>241</v>
      </c>
      <c r="H439" s="75">
        <v>2</v>
      </c>
      <c r="I439" s="76">
        <v>8618</v>
      </c>
      <c r="J439" s="75" t="s">
        <v>242</v>
      </c>
      <c r="K439" s="77">
        <v>5</v>
      </c>
      <c r="L439" s="78" t="s">
        <v>213</v>
      </c>
      <c r="M439" s="75" t="s">
        <v>627</v>
      </c>
      <c r="N439" s="82">
        <v>6463.5</v>
      </c>
    </row>
    <row r="440" spans="2:14" x14ac:dyDescent="0.25">
      <c r="B440" s="74" t="s">
        <v>707</v>
      </c>
      <c r="C440" s="75">
        <v>42693263</v>
      </c>
      <c r="D440" s="75" t="s">
        <v>239</v>
      </c>
      <c r="E440" s="75">
        <v>26</v>
      </c>
      <c r="F440" s="75" t="s">
        <v>240</v>
      </c>
      <c r="G440" s="75" t="s">
        <v>241</v>
      </c>
      <c r="H440" s="75">
        <v>2</v>
      </c>
      <c r="I440" s="76">
        <v>3434</v>
      </c>
      <c r="J440" s="75" t="s">
        <v>242</v>
      </c>
      <c r="K440" s="77">
        <v>5</v>
      </c>
      <c r="L440" s="78" t="s">
        <v>193</v>
      </c>
      <c r="M440" s="75" t="s">
        <v>627</v>
      </c>
      <c r="N440" s="82">
        <v>2575.5</v>
      </c>
    </row>
    <row r="441" spans="2:14" x14ac:dyDescent="0.25">
      <c r="B441" s="74" t="s">
        <v>708</v>
      </c>
      <c r="C441" s="75">
        <v>46233217</v>
      </c>
      <c r="D441" s="75" t="s">
        <v>254</v>
      </c>
      <c r="E441" s="75">
        <v>31</v>
      </c>
      <c r="F441" s="75" t="s">
        <v>251</v>
      </c>
      <c r="G441" s="75" t="s">
        <v>258</v>
      </c>
      <c r="H441" s="75">
        <v>1</v>
      </c>
      <c r="I441" s="76">
        <v>5227</v>
      </c>
      <c r="J441" s="75" t="s">
        <v>269</v>
      </c>
      <c r="K441" s="77">
        <v>5</v>
      </c>
      <c r="L441" s="78" t="s">
        <v>279</v>
      </c>
      <c r="M441" s="75" t="s">
        <v>627</v>
      </c>
      <c r="N441" s="82">
        <v>3920.2500000000005</v>
      </c>
    </row>
    <row r="442" spans="2:14" x14ac:dyDescent="0.25">
      <c r="B442" s="74" t="s">
        <v>709</v>
      </c>
      <c r="C442" s="75">
        <v>57304910</v>
      </c>
      <c r="D442" s="75" t="s">
        <v>239</v>
      </c>
      <c r="E442" s="75">
        <v>29</v>
      </c>
      <c r="F442" s="75" t="s">
        <v>246</v>
      </c>
      <c r="G442" s="75" t="s">
        <v>252</v>
      </c>
      <c r="H442" s="75">
        <v>2</v>
      </c>
      <c r="I442" s="76">
        <v>3768</v>
      </c>
      <c r="J442" s="75" t="s">
        <v>269</v>
      </c>
      <c r="K442" s="77">
        <v>5</v>
      </c>
      <c r="L442" s="78" t="s">
        <v>279</v>
      </c>
      <c r="M442" s="75" t="s">
        <v>627</v>
      </c>
      <c r="N442" s="82">
        <v>2826</v>
      </c>
    </row>
    <row r="443" spans="2:14" x14ac:dyDescent="0.25">
      <c r="B443" s="74" t="s">
        <v>710</v>
      </c>
      <c r="C443" s="75">
        <v>24681847</v>
      </c>
      <c r="D443" s="75" t="s">
        <v>254</v>
      </c>
      <c r="E443" s="75">
        <v>51</v>
      </c>
      <c r="F443" s="75" t="s">
        <v>255</v>
      </c>
      <c r="G443" s="75" t="s">
        <v>241</v>
      </c>
      <c r="H443" s="75">
        <v>2</v>
      </c>
      <c r="I443" s="76">
        <v>7061</v>
      </c>
      <c r="J443" s="75" t="s">
        <v>248</v>
      </c>
      <c r="K443" s="77">
        <v>5</v>
      </c>
      <c r="L443" s="78" t="s">
        <v>215</v>
      </c>
      <c r="M443" s="75" t="s">
        <v>627</v>
      </c>
      <c r="N443" s="82">
        <v>5295.75</v>
      </c>
    </row>
    <row r="444" spans="2:14" x14ac:dyDescent="0.25">
      <c r="B444" s="74" t="s">
        <v>711</v>
      </c>
      <c r="C444" s="75">
        <v>68533383</v>
      </c>
      <c r="D444" s="75" t="s">
        <v>239</v>
      </c>
      <c r="E444" s="75">
        <v>39</v>
      </c>
      <c r="F444" s="75" t="s">
        <v>251</v>
      </c>
      <c r="G444" s="75" t="s">
        <v>252</v>
      </c>
      <c r="H444" s="75">
        <v>0</v>
      </c>
      <c r="I444" s="76">
        <v>5383</v>
      </c>
      <c r="J444" s="75" t="s">
        <v>269</v>
      </c>
      <c r="K444" s="77">
        <v>4</v>
      </c>
      <c r="L444" s="78" t="s">
        <v>214</v>
      </c>
      <c r="M444" s="75" t="s">
        <v>627</v>
      </c>
      <c r="N444" s="82">
        <v>3229.7999999999997</v>
      </c>
    </row>
    <row r="445" spans="2:14" x14ac:dyDescent="0.25">
      <c r="B445" s="74" t="s">
        <v>712</v>
      </c>
      <c r="C445" s="75">
        <v>31483803</v>
      </c>
      <c r="D445" s="75" t="s">
        <v>254</v>
      </c>
      <c r="E445" s="75">
        <v>25</v>
      </c>
      <c r="F445" s="75" t="s">
        <v>246</v>
      </c>
      <c r="G445" s="75" t="s">
        <v>258</v>
      </c>
      <c r="H445" s="75">
        <v>1</v>
      </c>
      <c r="I445" s="76">
        <v>9334</v>
      </c>
      <c r="J445" s="75" t="s">
        <v>269</v>
      </c>
      <c r="K445" s="77">
        <v>4</v>
      </c>
      <c r="L445" s="78" t="s">
        <v>212</v>
      </c>
      <c r="M445" s="75" t="s">
        <v>627</v>
      </c>
      <c r="N445" s="82">
        <v>5600.4000000000005</v>
      </c>
    </row>
    <row r="446" spans="2:14" x14ac:dyDescent="0.25">
      <c r="B446" s="74" t="s">
        <v>713</v>
      </c>
      <c r="C446" s="75">
        <v>29413403</v>
      </c>
      <c r="D446" s="75" t="s">
        <v>239</v>
      </c>
      <c r="E446" s="75">
        <v>22</v>
      </c>
      <c r="F446" s="75" t="s">
        <v>255</v>
      </c>
      <c r="G446" s="75" t="s">
        <v>241</v>
      </c>
      <c r="H446" s="75">
        <v>1</v>
      </c>
      <c r="I446" s="76">
        <v>6761</v>
      </c>
      <c r="J446" s="75" t="s">
        <v>269</v>
      </c>
      <c r="K446" s="77">
        <v>4</v>
      </c>
      <c r="L446" s="78" t="s">
        <v>213</v>
      </c>
      <c r="M446" s="75" t="s">
        <v>627</v>
      </c>
      <c r="N446" s="82">
        <v>4056.6</v>
      </c>
    </row>
    <row r="447" spans="2:14" x14ac:dyDescent="0.25">
      <c r="B447" s="74" t="s">
        <v>714</v>
      </c>
      <c r="C447" s="75">
        <v>37055711</v>
      </c>
      <c r="D447" s="75" t="s">
        <v>254</v>
      </c>
      <c r="E447" s="75">
        <v>39</v>
      </c>
      <c r="F447" s="75" t="s">
        <v>240</v>
      </c>
      <c r="G447" s="75" t="s">
        <v>247</v>
      </c>
      <c r="H447" s="75">
        <v>1</v>
      </c>
      <c r="I447" s="76">
        <v>9776</v>
      </c>
      <c r="J447" s="75" t="s">
        <v>269</v>
      </c>
      <c r="K447" s="77">
        <v>4</v>
      </c>
      <c r="L447" s="78" t="s">
        <v>213</v>
      </c>
      <c r="M447" s="75" t="s">
        <v>627</v>
      </c>
      <c r="N447" s="82">
        <v>5865.6</v>
      </c>
    </row>
    <row r="448" spans="2:14" x14ac:dyDescent="0.25">
      <c r="B448" s="74" t="s">
        <v>715</v>
      </c>
      <c r="C448" s="75">
        <v>60164145</v>
      </c>
      <c r="D448" s="75" t="s">
        <v>254</v>
      </c>
      <c r="E448" s="75">
        <v>28</v>
      </c>
      <c r="F448" s="75" t="s">
        <v>240</v>
      </c>
      <c r="G448" s="75" t="s">
        <v>252</v>
      </c>
      <c r="H448" s="75">
        <v>1</v>
      </c>
      <c r="I448" s="76">
        <v>7075</v>
      </c>
      <c r="J448" s="75" t="s">
        <v>269</v>
      </c>
      <c r="K448" s="77">
        <v>4</v>
      </c>
      <c r="L448" s="78" t="s">
        <v>210</v>
      </c>
      <c r="M448" s="75" t="s">
        <v>627</v>
      </c>
      <c r="N448" s="82">
        <v>4245</v>
      </c>
    </row>
    <row r="449" spans="2:14" x14ac:dyDescent="0.25">
      <c r="B449" s="74" t="s">
        <v>716</v>
      </c>
      <c r="C449" s="75">
        <v>57012392</v>
      </c>
      <c r="D449" s="75" t="s">
        <v>239</v>
      </c>
      <c r="E449" s="75">
        <v>50</v>
      </c>
      <c r="F449" s="75" t="s">
        <v>255</v>
      </c>
      <c r="G449" s="75" t="s">
        <v>241</v>
      </c>
      <c r="H449" s="75">
        <v>3</v>
      </c>
      <c r="I449" s="76">
        <v>9266</v>
      </c>
      <c r="J449" s="75" t="s">
        <v>262</v>
      </c>
      <c r="K449" s="77">
        <v>4</v>
      </c>
      <c r="L449" s="78" t="s">
        <v>243</v>
      </c>
      <c r="M449" s="75" t="s">
        <v>627</v>
      </c>
      <c r="N449" s="82">
        <v>5559.5999999999995</v>
      </c>
    </row>
    <row r="450" spans="2:14" x14ac:dyDescent="0.25">
      <c r="B450" s="74" t="s">
        <v>717</v>
      </c>
      <c r="C450" s="75">
        <v>65398028</v>
      </c>
      <c r="D450" s="75" t="s">
        <v>239</v>
      </c>
      <c r="E450" s="75">
        <v>50</v>
      </c>
      <c r="F450" s="75" t="s">
        <v>246</v>
      </c>
      <c r="G450" s="75" t="s">
        <v>241</v>
      </c>
      <c r="H450" s="75">
        <v>1</v>
      </c>
      <c r="I450" s="76">
        <v>6028</v>
      </c>
      <c r="J450" s="75" t="s">
        <v>262</v>
      </c>
      <c r="K450" s="77">
        <v>4</v>
      </c>
      <c r="L450" s="78" t="s">
        <v>213</v>
      </c>
      <c r="M450" s="75" t="s">
        <v>627</v>
      </c>
      <c r="N450" s="82">
        <v>3616.8</v>
      </c>
    </row>
    <row r="451" spans="2:14" x14ac:dyDescent="0.25">
      <c r="B451" s="74" t="s">
        <v>718</v>
      </c>
      <c r="C451" s="75">
        <v>64469196</v>
      </c>
      <c r="D451" s="75" t="s">
        <v>254</v>
      </c>
      <c r="E451" s="75">
        <v>25</v>
      </c>
      <c r="F451" s="75" t="s">
        <v>246</v>
      </c>
      <c r="G451" s="75" t="s">
        <v>247</v>
      </c>
      <c r="H451" s="75">
        <v>1</v>
      </c>
      <c r="I451" s="76">
        <v>4373</v>
      </c>
      <c r="J451" s="75" t="s">
        <v>269</v>
      </c>
      <c r="K451" s="77">
        <v>4</v>
      </c>
      <c r="L451" s="78" t="s">
        <v>209</v>
      </c>
      <c r="M451" s="75" t="s">
        <v>627</v>
      </c>
      <c r="N451" s="82">
        <v>2623.7999999999997</v>
      </c>
    </row>
    <row r="452" spans="2:14" x14ac:dyDescent="0.25">
      <c r="B452" s="74" t="s">
        <v>719</v>
      </c>
      <c r="C452" s="75">
        <v>68233498</v>
      </c>
      <c r="D452" s="75" t="s">
        <v>239</v>
      </c>
      <c r="E452" s="75">
        <v>60</v>
      </c>
      <c r="F452" s="75" t="s">
        <v>240</v>
      </c>
      <c r="G452" s="75" t="s">
        <v>247</v>
      </c>
      <c r="H452" s="75">
        <v>4</v>
      </c>
      <c r="I452" s="76">
        <v>9356</v>
      </c>
      <c r="J452" s="75" t="s">
        <v>269</v>
      </c>
      <c r="K452" s="77">
        <v>4</v>
      </c>
      <c r="L452" s="78" t="s">
        <v>263</v>
      </c>
      <c r="M452" s="75" t="s">
        <v>627</v>
      </c>
      <c r="N452" s="82">
        <v>5613.6</v>
      </c>
    </row>
    <row r="453" spans="2:14" x14ac:dyDescent="0.25">
      <c r="B453" s="74" t="s">
        <v>720</v>
      </c>
      <c r="C453" s="75">
        <v>50349798</v>
      </c>
      <c r="D453" s="75" t="s">
        <v>239</v>
      </c>
      <c r="E453" s="75">
        <v>45</v>
      </c>
      <c r="F453" s="75" t="s">
        <v>240</v>
      </c>
      <c r="G453" s="75" t="s">
        <v>252</v>
      </c>
      <c r="H453" s="75">
        <v>4</v>
      </c>
      <c r="I453" s="76">
        <v>8010</v>
      </c>
      <c r="J453" s="75" t="s">
        <v>256</v>
      </c>
      <c r="K453" s="77">
        <v>4</v>
      </c>
      <c r="L453" s="78" t="s">
        <v>213</v>
      </c>
      <c r="M453" s="75" t="s">
        <v>627</v>
      </c>
      <c r="N453" s="82">
        <v>4806</v>
      </c>
    </row>
    <row r="454" spans="2:14" x14ac:dyDescent="0.25">
      <c r="B454" s="74" t="s">
        <v>721</v>
      </c>
      <c r="C454" s="75">
        <v>27800030</v>
      </c>
      <c r="D454" s="75" t="s">
        <v>239</v>
      </c>
      <c r="E454" s="75">
        <v>61</v>
      </c>
      <c r="F454" s="75" t="s">
        <v>255</v>
      </c>
      <c r="G454" s="75" t="s">
        <v>252</v>
      </c>
      <c r="H454" s="75">
        <v>1</v>
      </c>
      <c r="I454" s="76">
        <v>4965</v>
      </c>
      <c r="J454" s="75" t="s">
        <v>269</v>
      </c>
      <c r="K454" s="77">
        <v>4</v>
      </c>
      <c r="L454" s="78" t="s">
        <v>213</v>
      </c>
      <c r="M454" s="75" t="s">
        <v>627</v>
      </c>
      <c r="N454" s="82">
        <v>2979</v>
      </c>
    </row>
    <row r="455" spans="2:14" x14ac:dyDescent="0.25">
      <c r="B455" s="74" t="s">
        <v>722</v>
      </c>
      <c r="C455" s="75">
        <v>35219786</v>
      </c>
      <c r="D455" s="75" t="s">
        <v>254</v>
      </c>
      <c r="E455" s="75">
        <v>34</v>
      </c>
      <c r="F455" s="75" t="s">
        <v>251</v>
      </c>
      <c r="G455" s="75" t="s">
        <v>241</v>
      </c>
      <c r="H455" s="75">
        <v>2</v>
      </c>
      <c r="I455" s="76">
        <v>6151</v>
      </c>
      <c r="J455" s="75" t="s">
        <v>242</v>
      </c>
      <c r="K455" s="77">
        <v>4</v>
      </c>
      <c r="L455" s="78" t="s">
        <v>213</v>
      </c>
      <c r="M455" s="75" t="s">
        <v>627</v>
      </c>
      <c r="N455" s="82">
        <v>3690.6</v>
      </c>
    </row>
    <row r="456" spans="2:14" x14ac:dyDescent="0.25">
      <c r="B456" s="74" t="s">
        <v>723</v>
      </c>
      <c r="C456" s="75">
        <v>23434267</v>
      </c>
      <c r="D456" s="75" t="s">
        <v>254</v>
      </c>
      <c r="E456" s="75">
        <v>57</v>
      </c>
      <c r="F456" s="75" t="s">
        <v>255</v>
      </c>
      <c r="G456" s="75" t="s">
        <v>247</v>
      </c>
      <c r="H456" s="75">
        <v>2</v>
      </c>
      <c r="I456" s="76">
        <v>4781</v>
      </c>
      <c r="J456" s="75" t="s">
        <v>248</v>
      </c>
      <c r="K456" s="77">
        <v>4</v>
      </c>
      <c r="L456" s="78" t="s">
        <v>209</v>
      </c>
      <c r="M456" s="75" t="s">
        <v>627</v>
      </c>
      <c r="N456" s="82">
        <v>2868.6000000000004</v>
      </c>
    </row>
    <row r="457" spans="2:14" x14ac:dyDescent="0.25">
      <c r="B457" s="74" t="s">
        <v>724</v>
      </c>
      <c r="C457" s="75">
        <v>68172131</v>
      </c>
      <c r="D457" s="75" t="s">
        <v>254</v>
      </c>
      <c r="E457" s="75">
        <v>50</v>
      </c>
      <c r="F457" s="75" t="s">
        <v>255</v>
      </c>
      <c r="G457" s="75" t="s">
        <v>258</v>
      </c>
      <c r="H457" s="75">
        <v>1</v>
      </c>
      <c r="I457" s="76">
        <v>4906</v>
      </c>
      <c r="J457" s="75" t="s">
        <v>242</v>
      </c>
      <c r="K457" s="77">
        <v>3</v>
      </c>
      <c r="L457" s="78" t="s">
        <v>213</v>
      </c>
      <c r="M457" s="75" t="s">
        <v>627</v>
      </c>
      <c r="N457" s="82">
        <v>2207.7000000000003</v>
      </c>
    </row>
    <row r="458" spans="2:14" x14ac:dyDescent="0.25">
      <c r="B458" s="74" t="s">
        <v>725</v>
      </c>
      <c r="C458" s="75">
        <v>62942579</v>
      </c>
      <c r="D458" s="75" t="s">
        <v>239</v>
      </c>
      <c r="E458" s="75">
        <v>43</v>
      </c>
      <c r="F458" s="75" t="s">
        <v>255</v>
      </c>
      <c r="G458" s="75" t="s">
        <v>241</v>
      </c>
      <c r="H458" s="75">
        <v>4</v>
      </c>
      <c r="I458" s="76">
        <v>8329</v>
      </c>
      <c r="J458" s="75" t="s">
        <v>269</v>
      </c>
      <c r="K458" s="77">
        <v>3</v>
      </c>
      <c r="L458" s="78" t="s">
        <v>279</v>
      </c>
      <c r="M458" s="75" t="s">
        <v>627</v>
      </c>
      <c r="N458" s="82">
        <v>3748.05</v>
      </c>
    </row>
    <row r="459" spans="2:14" x14ac:dyDescent="0.25">
      <c r="B459" s="74" t="s">
        <v>726</v>
      </c>
      <c r="C459" s="75">
        <v>24660742</v>
      </c>
      <c r="D459" s="75" t="s">
        <v>239</v>
      </c>
      <c r="E459" s="75">
        <v>56</v>
      </c>
      <c r="F459" s="75" t="s">
        <v>246</v>
      </c>
      <c r="G459" s="75" t="s">
        <v>258</v>
      </c>
      <c r="H459" s="75">
        <v>0</v>
      </c>
      <c r="I459" s="76">
        <v>6205</v>
      </c>
      <c r="J459" s="75" t="s">
        <v>256</v>
      </c>
      <c r="K459" s="77">
        <v>3</v>
      </c>
      <c r="L459" s="78" t="s">
        <v>212</v>
      </c>
      <c r="M459" s="75" t="s">
        <v>627</v>
      </c>
      <c r="N459" s="82">
        <v>2792.25</v>
      </c>
    </row>
    <row r="460" spans="2:14" x14ac:dyDescent="0.25">
      <c r="B460" s="74" t="s">
        <v>727</v>
      </c>
      <c r="C460" s="75">
        <v>56497597</v>
      </c>
      <c r="D460" s="75" t="s">
        <v>239</v>
      </c>
      <c r="E460" s="75">
        <v>46</v>
      </c>
      <c r="F460" s="75" t="s">
        <v>255</v>
      </c>
      <c r="G460" s="75" t="s">
        <v>258</v>
      </c>
      <c r="H460" s="75">
        <v>2</v>
      </c>
      <c r="I460" s="76">
        <v>8082</v>
      </c>
      <c r="J460" s="75" t="s">
        <v>248</v>
      </c>
      <c r="K460" s="77">
        <v>3</v>
      </c>
      <c r="L460" s="78" t="s">
        <v>243</v>
      </c>
      <c r="M460" s="75" t="s">
        <v>627</v>
      </c>
      <c r="N460" s="82">
        <v>3636.9</v>
      </c>
    </row>
    <row r="461" spans="2:14" x14ac:dyDescent="0.25">
      <c r="B461" s="74" t="s">
        <v>728</v>
      </c>
      <c r="C461" s="75">
        <v>41760506</v>
      </c>
      <c r="D461" s="75" t="s">
        <v>239</v>
      </c>
      <c r="E461" s="75">
        <v>32</v>
      </c>
      <c r="F461" s="75" t="s">
        <v>255</v>
      </c>
      <c r="G461" s="75" t="s">
        <v>252</v>
      </c>
      <c r="H461" s="75">
        <v>1</v>
      </c>
      <c r="I461" s="76">
        <v>2182</v>
      </c>
      <c r="J461" s="75" t="s">
        <v>248</v>
      </c>
      <c r="K461" s="77">
        <v>3</v>
      </c>
      <c r="L461" s="78" t="s">
        <v>279</v>
      </c>
      <c r="M461" s="75" t="s">
        <v>627</v>
      </c>
      <c r="N461" s="82">
        <v>981.89999999999986</v>
      </c>
    </row>
    <row r="462" spans="2:14" x14ac:dyDescent="0.25">
      <c r="B462" s="74" t="s">
        <v>729</v>
      </c>
      <c r="C462" s="75">
        <v>61031853</v>
      </c>
      <c r="D462" s="75" t="s">
        <v>254</v>
      </c>
      <c r="E462" s="75">
        <v>39</v>
      </c>
      <c r="F462" s="75" t="s">
        <v>246</v>
      </c>
      <c r="G462" s="75" t="s">
        <v>241</v>
      </c>
      <c r="H462" s="75">
        <v>0</v>
      </c>
      <c r="I462" s="76">
        <v>4870</v>
      </c>
      <c r="J462" s="75" t="s">
        <v>269</v>
      </c>
      <c r="K462" s="77">
        <v>3</v>
      </c>
      <c r="L462" s="78" t="s">
        <v>209</v>
      </c>
      <c r="M462" s="75" t="s">
        <v>627</v>
      </c>
      <c r="N462" s="82">
        <v>2191.5</v>
      </c>
    </row>
    <row r="463" spans="2:14" x14ac:dyDescent="0.25">
      <c r="B463" s="74" t="s">
        <v>730</v>
      </c>
      <c r="C463" s="75">
        <v>38176401</v>
      </c>
      <c r="D463" s="75" t="s">
        <v>254</v>
      </c>
      <c r="E463" s="75">
        <v>47</v>
      </c>
      <c r="F463" s="75" t="s">
        <v>255</v>
      </c>
      <c r="G463" s="75" t="s">
        <v>247</v>
      </c>
      <c r="H463" s="75">
        <v>4</v>
      </c>
      <c r="I463" s="76">
        <v>7238</v>
      </c>
      <c r="J463" s="75" t="s">
        <v>242</v>
      </c>
      <c r="K463" s="77">
        <v>3</v>
      </c>
      <c r="L463" s="78" t="s">
        <v>193</v>
      </c>
      <c r="M463" s="75" t="s">
        <v>627</v>
      </c>
      <c r="N463" s="82">
        <v>3257.1</v>
      </c>
    </row>
    <row r="464" spans="2:14" x14ac:dyDescent="0.25">
      <c r="B464" s="74" t="s">
        <v>731</v>
      </c>
      <c r="C464" s="75">
        <v>52202300</v>
      </c>
      <c r="D464" s="75" t="s">
        <v>254</v>
      </c>
      <c r="E464" s="75">
        <v>56</v>
      </c>
      <c r="F464" s="75" t="s">
        <v>240</v>
      </c>
      <c r="G464" s="75" t="s">
        <v>247</v>
      </c>
      <c r="H464" s="75">
        <v>1</v>
      </c>
      <c r="I464" s="76">
        <v>7195</v>
      </c>
      <c r="J464" s="75" t="s">
        <v>262</v>
      </c>
      <c r="K464" s="77">
        <v>3</v>
      </c>
      <c r="L464" s="78" t="s">
        <v>243</v>
      </c>
      <c r="M464" s="75" t="s">
        <v>627</v>
      </c>
      <c r="N464" s="82">
        <v>3237.75</v>
      </c>
    </row>
    <row r="465" spans="2:14" x14ac:dyDescent="0.25">
      <c r="B465" s="74" t="s">
        <v>732</v>
      </c>
      <c r="C465" s="75">
        <v>43173495</v>
      </c>
      <c r="D465" s="75" t="s">
        <v>254</v>
      </c>
      <c r="E465" s="75">
        <v>50</v>
      </c>
      <c r="F465" s="75" t="s">
        <v>251</v>
      </c>
      <c r="G465" s="75" t="s">
        <v>247</v>
      </c>
      <c r="H465" s="75">
        <v>4</v>
      </c>
      <c r="I465" s="76">
        <v>6260</v>
      </c>
      <c r="J465" s="75" t="s">
        <v>256</v>
      </c>
      <c r="K465" s="77">
        <v>3</v>
      </c>
      <c r="L465" s="78" t="s">
        <v>214</v>
      </c>
      <c r="M465" s="75" t="s">
        <v>627</v>
      </c>
      <c r="N465" s="82">
        <v>2817</v>
      </c>
    </row>
    <row r="466" spans="2:14" x14ac:dyDescent="0.25">
      <c r="B466" s="74" t="s">
        <v>733</v>
      </c>
      <c r="C466" s="75">
        <v>59203465</v>
      </c>
      <c r="D466" s="75" t="s">
        <v>239</v>
      </c>
      <c r="E466" s="75">
        <v>48</v>
      </c>
      <c r="F466" s="75" t="s">
        <v>240</v>
      </c>
      <c r="G466" s="75" t="s">
        <v>241</v>
      </c>
      <c r="H466" s="75">
        <v>1</v>
      </c>
      <c r="I466" s="76">
        <v>6847</v>
      </c>
      <c r="J466" s="75" t="s">
        <v>248</v>
      </c>
      <c r="K466" s="77">
        <v>3</v>
      </c>
      <c r="L466" s="78" t="s">
        <v>243</v>
      </c>
      <c r="M466" s="75" t="s">
        <v>627</v>
      </c>
      <c r="N466" s="82">
        <v>3081.15</v>
      </c>
    </row>
    <row r="467" spans="2:14" x14ac:dyDescent="0.25">
      <c r="B467" s="74" t="s">
        <v>734</v>
      </c>
      <c r="C467" s="75">
        <v>40008519</v>
      </c>
      <c r="D467" s="75" t="s">
        <v>254</v>
      </c>
      <c r="E467" s="75">
        <v>44</v>
      </c>
      <c r="F467" s="75" t="s">
        <v>246</v>
      </c>
      <c r="G467" s="75" t="s">
        <v>252</v>
      </c>
      <c r="H467" s="75">
        <v>3</v>
      </c>
      <c r="I467" s="76">
        <v>3239</v>
      </c>
      <c r="J467" s="75" t="s">
        <v>242</v>
      </c>
      <c r="K467" s="77">
        <v>3</v>
      </c>
      <c r="L467" s="78" t="s">
        <v>263</v>
      </c>
      <c r="M467" s="75" t="s">
        <v>627</v>
      </c>
      <c r="N467" s="82">
        <v>1457.55</v>
      </c>
    </row>
    <row r="468" spans="2:14" x14ac:dyDescent="0.25">
      <c r="B468" s="74" t="s">
        <v>735</v>
      </c>
      <c r="C468" s="75">
        <v>63256154</v>
      </c>
      <c r="D468" s="75" t="s">
        <v>254</v>
      </c>
      <c r="E468" s="75">
        <v>65</v>
      </c>
      <c r="F468" s="75" t="s">
        <v>251</v>
      </c>
      <c r="G468" s="75" t="s">
        <v>241</v>
      </c>
      <c r="H468" s="75">
        <v>1</v>
      </c>
      <c r="I468" s="76">
        <v>8514</v>
      </c>
      <c r="J468" s="75" t="s">
        <v>269</v>
      </c>
      <c r="K468" s="77">
        <v>2</v>
      </c>
      <c r="L468" s="78" t="s">
        <v>215</v>
      </c>
      <c r="M468" s="75" t="s">
        <v>627</v>
      </c>
      <c r="N468" s="82">
        <v>2554.1999999999998</v>
      </c>
    </row>
    <row r="469" spans="2:14" x14ac:dyDescent="0.25">
      <c r="B469" s="74" t="s">
        <v>736</v>
      </c>
      <c r="C469" s="75">
        <v>62730286</v>
      </c>
      <c r="D469" s="75" t="s">
        <v>254</v>
      </c>
      <c r="E469" s="75">
        <v>23</v>
      </c>
      <c r="F469" s="75" t="s">
        <v>251</v>
      </c>
      <c r="G469" s="75" t="s">
        <v>252</v>
      </c>
      <c r="H469" s="75">
        <v>2</v>
      </c>
      <c r="I469" s="76">
        <v>6985</v>
      </c>
      <c r="J469" s="75" t="s">
        <v>269</v>
      </c>
      <c r="K469" s="77">
        <v>2</v>
      </c>
      <c r="L469" s="78" t="s">
        <v>215</v>
      </c>
      <c r="M469" s="75" t="s">
        <v>627</v>
      </c>
      <c r="N469" s="82">
        <v>2095.5</v>
      </c>
    </row>
    <row r="470" spans="2:14" x14ac:dyDescent="0.25">
      <c r="B470" s="74" t="s">
        <v>737</v>
      </c>
      <c r="C470" s="75">
        <v>62281089</v>
      </c>
      <c r="D470" s="75" t="s">
        <v>239</v>
      </c>
      <c r="E470" s="75">
        <v>18</v>
      </c>
      <c r="F470" s="75" t="s">
        <v>251</v>
      </c>
      <c r="G470" s="75" t="s">
        <v>258</v>
      </c>
      <c r="H470" s="75">
        <v>2</v>
      </c>
      <c r="I470" s="76">
        <v>4224</v>
      </c>
      <c r="J470" s="75" t="s">
        <v>262</v>
      </c>
      <c r="K470" s="77">
        <v>2</v>
      </c>
      <c r="L470" s="78" t="s">
        <v>263</v>
      </c>
      <c r="M470" s="75" t="s">
        <v>627</v>
      </c>
      <c r="N470" s="82">
        <v>1267.2</v>
      </c>
    </row>
    <row r="471" spans="2:14" x14ac:dyDescent="0.25">
      <c r="B471" s="74" t="s">
        <v>738</v>
      </c>
      <c r="C471" s="75">
        <v>69064080</v>
      </c>
      <c r="D471" s="75" t="s">
        <v>239</v>
      </c>
      <c r="E471" s="75">
        <v>59</v>
      </c>
      <c r="F471" s="75" t="s">
        <v>246</v>
      </c>
      <c r="G471" s="75" t="s">
        <v>241</v>
      </c>
      <c r="H471" s="75">
        <v>2</v>
      </c>
      <c r="I471" s="76">
        <v>2272</v>
      </c>
      <c r="J471" s="75" t="s">
        <v>248</v>
      </c>
      <c r="K471" s="77">
        <v>2</v>
      </c>
      <c r="L471" s="78" t="s">
        <v>215</v>
      </c>
      <c r="M471" s="75" t="s">
        <v>627</v>
      </c>
      <c r="N471" s="82">
        <v>681.59999999999991</v>
      </c>
    </row>
    <row r="472" spans="2:14" x14ac:dyDescent="0.25">
      <c r="B472" s="74" t="s">
        <v>739</v>
      </c>
      <c r="C472" s="75">
        <v>54156664</v>
      </c>
      <c r="D472" s="75" t="s">
        <v>254</v>
      </c>
      <c r="E472" s="75">
        <v>60</v>
      </c>
      <c r="F472" s="75" t="s">
        <v>246</v>
      </c>
      <c r="G472" s="75" t="s">
        <v>241</v>
      </c>
      <c r="H472" s="75">
        <v>2</v>
      </c>
      <c r="I472" s="76">
        <v>7818</v>
      </c>
      <c r="J472" s="75" t="s">
        <v>262</v>
      </c>
      <c r="K472" s="77">
        <v>2</v>
      </c>
      <c r="L472" s="78" t="s">
        <v>271</v>
      </c>
      <c r="M472" s="75" t="s">
        <v>627</v>
      </c>
      <c r="N472" s="82">
        <v>2345.4</v>
      </c>
    </row>
    <row r="473" spans="2:14" x14ac:dyDescent="0.25">
      <c r="B473" s="74" t="s">
        <v>740</v>
      </c>
      <c r="C473" s="75">
        <v>31666412</v>
      </c>
      <c r="D473" s="75" t="s">
        <v>254</v>
      </c>
      <c r="E473" s="75">
        <v>50</v>
      </c>
      <c r="F473" s="75" t="s">
        <v>251</v>
      </c>
      <c r="G473" s="75" t="s">
        <v>241</v>
      </c>
      <c r="H473" s="75">
        <v>3</v>
      </c>
      <c r="I473" s="76">
        <v>3304</v>
      </c>
      <c r="J473" s="75" t="s">
        <v>248</v>
      </c>
      <c r="K473" s="77">
        <v>2</v>
      </c>
      <c r="L473" s="78" t="s">
        <v>212</v>
      </c>
      <c r="M473" s="75" t="s">
        <v>627</v>
      </c>
      <c r="N473" s="82">
        <v>991.19999999999993</v>
      </c>
    </row>
    <row r="474" spans="2:14" x14ac:dyDescent="0.25">
      <c r="B474" s="74" t="s">
        <v>741</v>
      </c>
      <c r="C474" s="75">
        <v>48074201</v>
      </c>
      <c r="D474" s="75" t="s">
        <v>254</v>
      </c>
      <c r="E474" s="75">
        <v>37</v>
      </c>
      <c r="F474" s="75" t="s">
        <v>246</v>
      </c>
      <c r="G474" s="75" t="s">
        <v>258</v>
      </c>
      <c r="H474" s="75">
        <v>1</v>
      </c>
      <c r="I474" s="76">
        <v>8608</v>
      </c>
      <c r="J474" s="75" t="s">
        <v>248</v>
      </c>
      <c r="K474" s="77">
        <v>2</v>
      </c>
      <c r="L474" s="78" t="s">
        <v>243</v>
      </c>
      <c r="M474" s="75" t="s">
        <v>627</v>
      </c>
      <c r="N474" s="82">
        <v>2582.4</v>
      </c>
    </row>
    <row r="475" spans="2:14" x14ac:dyDescent="0.25">
      <c r="B475" s="74" t="s">
        <v>742</v>
      </c>
      <c r="C475" s="75">
        <v>46059265</v>
      </c>
      <c r="D475" s="75" t="s">
        <v>239</v>
      </c>
      <c r="E475" s="75">
        <v>54</v>
      </c>
      <c r="F475" s="75" t="s">
        <v>251</v>
      </c>
      <c r="G475" s="75" t="s">
        <v>258</v>
      </c>
      <c r="H475" s="75">
        <v>2</v>
      </c>
      <c r="I475" s="76">
        <v>9058</v>
      </c>
      <c r="J475" s="75" t="s">
        <v>248</v>
      </c>
      <c r="K475" s="77">
        <v>2</v>
      </c>
      <c r="L475" s="78" t="s">
        <v>210</v>
      </c>
      <c r="M475" s="75" t="s">
        <v>627</v>
      </c>
      <c r="N475" s="82">
        <v>2717.4</v>
      </c>
    </row>
    <row r="476" spans="2:14" x14ac:dyDescent="0.25">
      <c r="B476" s="74" t="s">
        <v>743</v>
      </c>
      <c r="C476" s="75">
        <v>67342055</v>
      </c>
      <c r="D476" s="75" t="s">
        <v>254</v>
      </c>
      <c r="E476" s="75">
        <v>27</v>
      </c>
      <c r="F476" s="75" t="s">
        <v>251</v>
      </c>
      <c r="G476" s="75" t="s">
        <v>258</v>
      </c>
      <c r="H476" s="75">
        <v>2</v>
      </c>
      <c r="I476" s="76">
        <v>2143</v>
      </c>
      <c r="J476" s="75" t="s">
        <v>256</v>
      </c>
      <c r="K476" s="77">
        <v>2</v>
      </c>
      <c r="L476" s="78" t="s">
        <v>215</v>
      </c>
      <c r="M476" s="75" t="s">
        <v>627</v>
      </c>
      <c r="N476" s="82">
        <v>642.9</v>
      </c>
    </row>
    <row r="477" spans="2:14" x14ac:dyDescent="0.25">
      <c r="B477" s="74" t="s">
        <v>744</v>
      </c>
      <c r="C477" s="75">
        <v>43963222</v>
      </c>
      <c r="D477" s="75" t="s">
        <v>254</v>
      </c>
      <c r="E477" s="75">
        <v>18</v>
      </c>
      <c r="F477" s="75" t="s">
        <v>255</v>
      </c>
      <c r="G477" s="75" t="s">
        <v>252</v>
      </c>
      <c r="H477" s="75">
        <v>2</v>
      </c>
      <c r="I477" s="76">
        <v>4210</v>
      </c>
      <c r="J477" s="75" t="s">
        <v>242</v>
      </c>
      <c r="K477" s="77">
        <v>2</v>
      </c>
      <c r="L477" s="78" t="s">
        <v>209</v>
      </c>
      <c r="M477" s="75" t="s">
        <v>627</v>
      </c>
      <c r="N477" s="82">
        <v>1263</v>
      </c>
    </row>
    <row r="478" spans="2:14" x14ac:dyDescent="0.25">
      <c r="B478" s="74" t="s">
        <v>745</v>
      </c>
      <c r="C478" s="75">
        <v>32852875</v>
      </c>
      <c r="D478" s="75" t="s">
        <v>239</v>
      </c>
      <c r="E478" s="75">
        <v>41</v>
      </c>
      <c r="F478" s="75" t="s">
        <v>255</v>
      </c>
      <c r="G478" s="75" t="s">
        <v>258</v>
      </c>
      <c r="H478" s="75">
        <v>0</v>
      </c>
      <c r="I478" s="76">
        <v>4312</v>
      </c>
      <c r="J478" s="75" t="s">
        <v>256</v>
      </c>
      <c r="K478" s="77">
        <v>1</v>
      </c>
      <c r="L478" s="78" t="s">
        <v>215</v>
      </c>
      <c r="M478" s="75" t="s">
        <v>627</v>
      </c>
      <c r="N478" s="82">
        <v>646.79999999999995</v>
      </c>
    </row>
    <row r="479" spans="2:14" x14ac:dyDescent="0.25">
      <c r="B479" s="74" t="s">
        <v>746</v>
      </c>
      <c r="C479" s="75">
        <v>38794725</v>
      </c>
      <c r="D479" s="75" t="s">
        <v>239</v>
      </c>
      <c r="E479" s="75">
        <v>21</v>
      </c>
      <c r="F479" s="75" t="s">
        <v>246</v>
      </c>
      <c r="G479" s="75" t="s">
        <v>247</v>
      </c>
      <c r="H479" s="75">
        <v>1</v>
      </c>
      <c r="I479" s="76">
        <v>2513</v>
      </c>
      <c r="J479" s="75" t="s">
        <v>256</v>
      </c>
      <c r="K479" s="77">
        <v>1</v>
      </c>
      <c r="L479" s="78" t="s">
        <v>279</v>
      </c>
      <c r="M479" s="75" t="s">
        <v>627</v>
      </c>
      <c r="N479" s="82">
        <v>376.95</v>
      </c>
    </row>
    <row r="480" spans="2:14" x14ac:dyDescent="0.25">
      <c r="B480" s="74" t="s">
        <v>747</v>
      </c>
      <c r="C480" s="75">
        <v>34482346</v>
      </c>
      <c r="D480" s="75" t="s">
        <v>239</v>
      </c>
      <c r="E480" s="75">
        <v>29</v>
      </c>
      <c r="F480" s="75" t="s">
        <v>240</v>
      </c>
      <c r="G480" s="75" t="s">
        <v>258</v>
      </c>
      <c r="H480" s="75">
        <v>1</v>
      </c>
      <c r="I480" s="76">
        <v>6907</v>
      </c>
      <c r="J480" s="75" t="s">
        <v>248</v>
      </c>
      <c r="K480" s="77">
        <v>1</v>
      </c>
      <c r="L480" s="78" t="s">
        <v>213</v>
      </c>
      <c r="M480" s="75" t="s">
        <v>627</v>
      </c>
      <c r="N480" s="82">
        <v>1036.05</v>
      </c>
    </row>
    <row r="481" spans="2:14" x14ac:dyDescent="0.25">
      <c r="B481" s="74" t="s">
        <v>748</v>
      </c>
      <c r="C481" s="75">
        <v>49368198</v>
      </c>
      <c r="D481" s="75" t="s">
        <v>239</v>
      </c>
      <c r="E481" s="75">
        <v>21</v>
      </c>
      <c r="F481" s="75" t="s">
        <v>255</v>
      </c>
      <c r="G481" s="75" t="s">
        <v>252</v>
      </c>
      <c r="H481" s="75">
        <v>1</v>
      </c>
      <c r="I481" s="76">
        <v>9392</v>
      </c>
      <c r="J481" s="75" t="s">
        <v>248</v>
      </c>
      <c r="K481" s="77">
        <v>1</v>
      </c>
      <c r="L481" s="78" t="s">
        <v>263</v>
      </c>
      <c r="M481" s="75" t="s">
        <v>627</v>
      </c>
      <c r="N481" s="82">
        <v>1408.8</v>
      </c>
    </row>
    <row r="482" spans="2:14" x14ac:dyDescent="0.25">
      <c r="B482" s="74" t="s">
        <v>749</v>
      </c>
      <c r="C482" s="75">
        <v>27745562</v>
      </c>
      <c r="D482" s="75" t="s">
        <v>239</v>
      </c>
      <c r="E482" s="75">
        <v>60</v>
      </c>
      <c r="F482" s="75" t="s">
        <v>251</v>
      </c>
      <c r="G482" s="75" t="s">
        <v>241</v>
      </c>
      <c r="H482" s="75">
        <v>2</v>
      </c>
      <c r="I482" s="76">
        <v>5588</v>
      </c>
      <c r="J482" s="75" t="s">
        <v>262</v>
      </c>
      <c r="K482" s="77">
        <v>1</v>
      </c>
      <c r="L482" s="78" t="s">
        <v>271</v>
      </c>
      <c r="M482" s="75" t="s">
        <v>627</v>
      </c>
      <c r="N482" s="82">
        <v>838.2</v>
      </c>
    </row>
    <row r="483" spans="2:14" x14ac:dyDescent="0.25">
      <c r="B483" s="74" t="s">
        <v>750</v>
      </c>
      <c r="C483" s="75">
        <v>33828415</v>
      </c>
      <c r="D483" s="75" t="s">
        <v>254</v>
      </c>
      <c r="E483" s="75">
        <v>60</v>
      </c>
      <c r="F483" s="75" t="s">
        <v>240</v>
      </c>
      <c r="G483" s="75" t="s">
        <v>252</v>
      </c>
      <c r="H483" s="75">
        <v>0</v>
      </c>
      <c r="I483" s="76">
        <v>4615</v>
      </c>
      <c r="J483" s="75" t="s">
        <v>242</v>
      </c>
      <c r="K483" s="77">
        <v>1</v>
      </c>
      <c r="L483" s="78" t="s">
        <v>212</v>
      </c>
      <c r="M483" s="75" t="s">
        <v>627</v>
      </c>
      <c r="N483" s="82">
        <v>692.25</v>
      </c>
    </row>
    <row r="484" spans="2:14" x14ac:dyDescent="0.25">
      <c r="B484" s="74" t="s">
        <v>751</v>
      </c>
      <c r="C484" s="75">
        <v>38765288</v>
      </c>
      <c r="D484" s="75" t="s">
        <v>239</v>
      </c>
      <c r="E484" s="75">
        <v>44</v>
      </c>
      <c r="F484" s="75" t="s">
        <v>255</v>
      </c>
      <c r="G484" s="75" t="s">
        <v>247</v>
      </c>
      <c r="H484" s="75">
        <v>2</v>
      </c>
      <c r="I484" s="76">
        <v>3148</v>
      </c>
      <c r="J484" s="75" t="s">
        <v>256</v>
      </c>
      <c r="K484" s="77">
        <v>1</v>
      </c>
      <c r="L484" s="78" t="s">
        <v>271</v>
      </c>
      <c r="M484" s="75" t="s">
        <v>627</v>
      </c>
      <c r="N484" s="82">
        <v>472.2</v>
      </c>
    </row>
    <row r="485" spans="2:14" x14ac:dyDescent="0.25">
      <c r="B485" s="74" t="s">
        <v>752</v>
      </c>
      <c r="C485" s="75">
        <v>39079387</v>
      </c>
      <c r="D485" s="75" t="s">
        <v>254</v>
      </c>
      <c r="E485" s="75">
        <v>26</v>
      </c>
      <c r="F485" s="75" t="s">
        <v>246</v>
      </c>
      <c r="G485" s="75" t="s">
        <v>252</v>
      </c>
      <c r="H485" s="75">
        <v>2</v>
      </c>
      <c r="I485" s="76">
        <v>7566</v>
      </c>
      <c r="J485" s="75" t="s">
        <v>269</v>
      </c>
      <c r="K485" s="77">
        <v>1</v>
      </c>
      <c r="L485" s="78" t="s">
        <v>214</v>
      </c>
      <c r="M485" s="75" t="s">
        <v>627</v>
      </c>
      <c r="N485" s="82">
        <v>1134.8999999999999</v>
      </c>
    </row>
    <row r="486" spans="2:14" x14ac:dyDescent="0.25">
      <c r="B486" s="74" t="s">
        <v>753</v>
      </c>
      <c r="C486" s="75">
        <v>59744338</v>
      </c>
      <c r="D486" s="75" t="s">
        <v>239</v>
      </c>
      <c r="E486" s="75">
        <v>48</v>
      </c>
      <c r="F486" s="75" t="s">
        <v>240</v>
      </c>
      <c r="G486" s="75" t="s">
        <v>252</v>
      </c>
      <c r="H486" s="75">
        <v>1</v>
      </c>
      <c r="I486" s="76">
        <v>2287</v>
      </c>
      <c r="J486" s="75" t="s">
        <v>262</v>
      </c>
      <c r="K486" s="77">
        <v>1</v>
      </c>
      <c r="L486" s="78" t="s">
        <v>212</v>
      </c>
      <c r="M486" s="75" t="s">
        <v>627</v>
      </c>
      <c r="N486" s="82">
        <v>343.05</v>
      </c>
    </row>
    <row r="487" spans="2:14" x14ac:dyDescent="0.25">
      <c r="B487" s="74" t="s">
        <v>754</v>
      </c>
      <c r="C487" s="75">
        <v>59066708</v>
      </c>
      <c r="D487" s="75" t="s">
        <v>254</v>
      </c>
      <c r="E487" s="75">
        <v>19</v>
      </c>
      <c r="F487" s="75" t="s">
        <v>240</v>
      </c>
      <c r="G487" s="75" t="s">
        <v>241</v>
      </c>
      <c r="H487" s="75">
        <v>4</v>
      </c>
      <c r="I487" s="76">
        <v>6895</v>
      </c>
      <c r="J487" s="75" t="s">
        <v>248</v>
      </c>
      <c r="K487" s="77">
        <v>1</v>
      </c>
      <c r="L487" s="78" t="s">
        <v>193</v>
      </c>
      <c r="M487" s="75" t="s">
        <v>627</v>
      </c>
      <c r="N487" s="82">
        <v>1034.25</v>
      </c>
    </row>
    <row r="488" spans="2:14" x14ac:dyDescent="0.25">
      <c r="B488" s="74" t="s">
        <v>755</v>
      </c>
      <c r="C488" s="75">
        <v>64822324</v>
      </c>
      <c r="D488" s="75" t="s">
        <v>239</v>
      </c>
      <c r="E488" s="75">
        <v>47</v>
      </c>
      <c r="F488" s="75" t="s">
        <v>240</v>
      </c>
      <c r="G488" s="75" t="s">
        <v>258</v>
      </c>
      <c r="H488" s="75">
        <v>4</v>
      </c>
      <c r="I488" s="76">
        <v>5816</v>
      </c>
      <c r="J488" s="75" t="s">
        <v>262</v>
      </c>
      <c r="K488" s="77">
        <v>1</v>
      </c>
      <c r="L488" s="78" t="s">
        <v>203</v>
      </c>
      <c r="M488" s="75" t="s">
        <v>627</v>
      </c>
      <c r="N488" s="82">
        <v>872.4</v>
      </c>
    </row>
    <row r="489" spans="2:14" x14ac:dyDescent="0.25">
      <c r="B489" s="74" t="s">
        <v>756</v>
      </c>
      <c r="C489" s="75">
        <v>27733657</v>
      </c>
      <c r="D489" s="75" t="s">
        <v>254</v>
      </c>
      <c r="E489" s="75">
        <v>58</v>
      </c>
      <c r="F489" s="75" t="s">
        <v>240</v>
      </c>
      <c r="G489" s="75" t="s">
        <v>252</v>
      </c>
      <c r="H489" s="75">
        <v>2</v>
      </c>
      <c r="I489" s="76">
        <v>7608</v>
      </c>
      <c r="J489" s="75" t="s">
        <v>269</v>
      </c>
      <c r="K489" s="77">
        <v>1</v>
      </c>
      <c r="L489" s="78" t="s">
        <v>279</v>
      </c>
      <c r="M489" s="75" t="s">
        <v>627</v>
      </c>
      <c r="N489" s="82">
        <v>1141.2</v>
      </c>
    </row>
    <row r="490" spans="2:14" x14ac:dyDescent="0.25">
      <c r="B490" s="74" t="s">
        <v>757</v>
      </c>
      <c r="C490" s="75">
        <v>44731643</v>
      </c>
      <c r="D490" s="75" t="s">
        <v>254</v>
      </c>
      <c r="E490" s="75">
        <v>64</v>
      </c>
      <c r="F490" s="75" t="s">
        <v>246</v>
      </c>
      <c r="G490" s="75" t="s">
        <v>247</v>
      </c>
      <c r="H490" s="75">
        <v>3</v>
      </c>
      <c r="I490" s="76">
        <v>9513</v>
      </c>
      <c r="J490" s="75" t="s">
        <v>262</v>
      </c>
      <c r="K490" s="77">
        <v>1</v>
      </c>
      <c r="L490" s="78" t="s">
        <v>271</v>
      </c>
      <c r="M490" s="75" t="s">
        <v>627</v>
      </c>
      <c r="N490" s="82">
        <v>1426.9499999999998</v>
      </c>
    </row>
    <row r="491" spans="2:14" x14ac:dyDescent="0.25">
      <c r="B491" s="74" t="s">
        <v>758</v>
      </c>
      <c r="C491" s="75">
        <v>27204707</v>
      </c>
      <c r="D491" s="75" t="s">
        <v>239</v>
      </c>
      <c r="E491" s="75">
        <v>21</v>
      </c>
      <c r="F491" s="75" t="s">
        <v>255</v>
      </c>
      <c r="G491" s="75" t="s">
        <v>258</v>
      </c>
      <c r="H491" s="75">
        <v>1</v>
      </c>
      <c r="I491" s="76">
        <v>5571</v>
      </c>
      <c r="J491" s="75" t="s">
        <v>248</v>
      </c>
      <c r="K491" s="77">
        <v>0</v>
      </c>
      <c r="L491" s="78" t="s">
        <v>382</v>
      </c>
      <c r="M491" s="75" t="s">
        <v>627</v>
      </c>
      <c r="N491" s="82">
        <v>0</v>
      </c>
    </row>
    <row r="492" spans="2:14" x14ac:dyDescent="0.25">
      <c r="B492" s="74" t="s">
        <v>759</v>
      </c>
      <c r="C492" s="75">
        <v>37563999</v>
      </c>
      <c r="D492" s="75" t="s">
        <v>239</v>
      </c>
      <c r="E492" s="75">
        <v>52</v>
      </c>
      <c r="F492" s="75" t="s">
        <v>240</v>
      </c>
      <c r="G492" s="75" t="s">
        <v>258</v>
      </c>
      <c r="H492" s="75">
        <v>1</v>
      </c>
      <c r="I492" s="76">
        <v>4700</v>
      </c>
      <c r="J492" s="75" t="s">
        <v>262</v>
      </c>
      <c r="K492" s="77">
        <v>0</v>
      </c>
      <c r="L492" s="78" t="s">
        <v>382</v>
      </c>
      <c r="M492" s="75" t="s">
        <v>627</v>
      </c>
      <c r="N492" s="82">
        <v>0</v>
      </c>
    </row>
    <row r="493" spans="2:14" x14ac:dyDescent="0.25">
      <c r="B493" s="74" t="s">
        <v>760</v>
      </c>
      <c r="C493" s="75">
        <v>52491547</v>
      </c>
      <c r="D493" s="75" t="s">
        <v>254</v>
      </c>
      <c r="E493" s="75">
        <v>45</v>
      </c>
      <c r="F493" s="75" t="s">
        <v>255</v>
      </c>
      <c r="G493" s="75" t="s">
        <v>258</v>
      </c>
      <c r="H493" s="75">
        <v>2</v>
      </c>
      <c r="I493" s="76">
        <v>6680</v>
      </c>
      <c r="J493" s="75" t="s">
        <v>269</v>
      </c>
      <c r="K493" s="77">
        <v>0</v>
      </c>
      <c r="L493" s="78" t="s">
        <v>382</v>
      </c>
      <c r="M493" s="75" t="s">
        <v>627</v>
      </c>
      <c r="N493" s="82">
        <v>0</v>
      </c>
    </row>
    <row r="494" spans="2:14" x14ac:dyDescent="0.25">
      <c r="B494" s="74" t="s">
        <v>761</v>
      </c>
      <c r="C494" s="75">
        <v>42583055</v>
      </c>
      <c r="D494" s="75" t="s">
        <v>239</v>
      </c>
      <c r="E494" s="75">
        <v>45</v>
      </c>
      <c r="F494" s="75" t="s">
        <v>246</v>
      </c>
      <c r="G494" s="75" t="s">
        <v>241</v>
      </c>
      <c r="H494" s="75">
        <v>2</v>
      </c>
      <c r="I494" s="76">
        <v>6040</v>
      </c>
      <c r="J494" s="75" t="s">
        <v>242</v>
      </c>
      <c r="K494" s="77">
        <v>0</v>
      </c>
      <c r="L494" s="78" t="s">
        <v>382</v>
      </c>
      <c r="M494" s="75" t="s">
        <v>627</v>
      </c>
      <c r="N494" s="82">
        <v>0</v>
      </c>
    </row>
    <row r="495" spans="2:14" x14ac:dyDescent="0.25">
      <c r="B495" s="74" t="s">
        <v>762</v>
      </c>
      <c r="C495" s="75">
        <v>21622997</v>
      </c>
      <c r="D495" s="75" t="s">
        <v>254</v>
      </c>
      <c r="E495" s="75">
        <v>42</v>
      </c>
      <c r="F495" s="75" t="s">
        <v>246</v>
      </c>
      <c r="G495" s="75" t="s">
        <v>247</v>
      </c>
      <c r="H495" s="75">
        <v>3</v>
      </c>
      <c r="I495" s="76">
        <v>2677</v>
      </c>
      <c r="J495" s="75" t="s">
        <v>256</v>
      </c>
      <c r="K495" s="77">
        <v>0</v>
      </c>
      <c r="L495" s="78" t="s">
        <v>382</v>
      </c>
      <c r="M495" s="75" t="s">
        <v>627</v>
      </c>
      <c r="N495" s="82">
        <v>0</v>
      </c>
    </row>
    <row r="496" spans="2:14" x14ac:dyDescent="0.25">
      <c r="B496" s="74" t="s">
        <v>763</v>
      </c>
      <c r="C496" s="75">
        <v>25739098</v>
      </c>
      <c r="D496" s="75" t="s">
        <v>254</v>
      </c>
      <c r="E496" s="75">
        <v>64</v>
      </c>
      <c r="F496" s="75" t="s">
        <v>240</v>
      </c>
      <c r="G496" s="75" t="s">
        <v>252</v>
      </c>
      <c r="H496" s="75">
        <v>2</v>
      </c>
      <c r="I496" s="76">
        <v>5111</v>
      </c>
      <c r="J496" s="75" t="s">
        <v>242</v>
      </c>
      <c r="K496" s="77">
        <v>0</v>
      </c>
      <c r="L496" s="78" t="s">
        <v>382</v>
      </c>
      <c r="M496" s="75" t="s">
        <v>627</v>
      </c>
      <c r="N496" s="82">
        <v>0</v>
      </c>
    </row>
    <row r="497" spans="2:14" x14ac:dyDescent="0.25">
      <c r="B497" s="74" t="s">
        <v>764</v>
      </c>
      <c r="C497" s="75">
        <v>42566194</v>
      </c>
      <c r="D497" s="75" t="s">
        <v>254</v>
      </c>
      <c r="E497" s="75">
        <v>25</v>
      </c>
      <c r="F497" s="75" t="s">
        <v>255</v>
      </c>
      <c r="G497" s="75" t="s">
        <v>241</v>
      </c>
      <c r="H497" s="75">
        <v>1</v>
      </c>
      <c r="I497" s="76">
        <v>4705</v>
      </c>
      <c r="J497" s="75" t="s">
        <v>269</v>
      </c>
      <c r="K497" s="77">
        <v>10</v>
      </c>
      <c r="L497" s="78" t="s">
        <v>203</v>
      </c>
      <c r="M497" s="75" t="s">
        <v>765</v>
      </c>
      <c r="N497" s="82">
        <v>3764</v>
      </c>
    </row>
    <row r="498" spans="2:14" x14ac:dyDescent="0.25">
      <c r="B498" s="74" t="s">
        <v>766</v>
      </c>
      <c r="C498" s="75">
        <v>60267506</v>
      </c>
      <c r="D498" s="75" t="s">
        <v>254</v>
      </c>
      <c r="E498" s="75">
        <v>23</v>
      </c>
      <c r="F498" s="75" t="s">
        <v>255</v>
      </c>
      <c r="G498" s="75" t="s">
        <v>241</v>
      </c>
      <c r="H498" s="75">
        <v>2</v>
      </c>
      <c r="I498" s="76">
        <v>7847</v>
      </c>
      <c r="J498" s="75" t="s">
        <v>256</v>
      </c>
      <c r="K498" s="77">
        <v>10</v>
      </c>
      <c r="L498" s="78" t="s">
        <v>279</v>
      </c>
      <c r="M498" s="75" t="s">
        <v>765</v>
      </c>
      <c r="N498" s="82">
        <v>6277.6</v>
      </c>
    </row>
    <row r="499" spans="2:14" x14ac:dyDescent="0.25">
      <c r="B499" s="74" t="s">
        <v>767</v>
      </c>
      <c r="C499" s="75">
        <v>49364068</v>
      </c>
      <c r="D499" s="75" t="s">
        <v>254</v>
      </c>
      <c r="E499" s="75">
        <v>34</v>
      </c>
      <c r="F499" s="75" t="s">
        <v>251</v>
      </c>
      <c r="G499" s="75" t="s">
        <v>258</v>
      </c>
      <c r="H499" s="75">
        <v>1</v>
      </c>
      <c r="I499" s="76">
        <v>2761</v>
      </c>
      <c r="J499" s="75" t="s">
        <v>248</v>
      </c>
      <c r="K499" s="77">
        <v>10</v>
      </c>
      <c r="L499" s="78" t="s">
        <v>193</v>
      </c>
      <c r="M499" s="75" t="s">
        <v>765</v>
      </c>
      <c r="N499" s="82">
        <v>2208.8000000000002</v>
      </c>
    </row>
    <row r="500" spans="2:14" x14ac:dyDescent="0.25">
      <c r="B500" s="74" t="s">
        <v>768</v>
      </c>
      <c r="C500" s="75">
        <v>64618676</v>
      </c>
      <c r="D500" s="75" t="s">
        <v>254</v>
      </c>
      <c r="E500" s="75">
        <v>24</v>
      </c>
      <c r="F500" s="75" t="s">
        <v>255</v>
      </c>
      <c r="G500" s="75" t="s">
        <v>252</v>
      </c>
      <c r="H500" s="75">
        <v>2</v>
      </c>
      <c r="I500" s="76">
        <v>6064</v>
      </c>
      <c r="J500" s="75" t="s">
        <v>242</v>
      </c>
      <c r="K500" s="77">
        <v>10</v>
      </c>
      <c r="L500" s="78" t="s">
        <v>263</v>
      </c>
      <c r="M500" s="75" t="s">
        <v>765</v>
      </c>
      <c r="N500" s="82">
        <v>4851.2</v>
      </c>
    </row>
    <row r="501" spans="2:14" x14ac:dyDescent="0.25">
      <c r="B501" s="74" t="s">
        <v>769</v>
      </c>
      <c r="C501" s="75">
        <v>55684969</v>
      </c>
      <c r="D501" s="75" t="s">
        <v>239</v>
      </c>
      <c r="E501" s="75">
        <v>51</v>
      </c>
      <c r="F501" s="75" t="s">
        <v>240</v>
      </c>
      <c r="G501" s="75" t="s">
        <v>247</v>
      </c>
      <c r="H501" s="75">
        <v>1</v>
      </c>
      <c r="I501" s="76">
        <v>3243</v>
      </c>
      <c r="J501" s="75" t="s">
        <v>256</v>
      </c>
      <c r="K501" s="77">
        <v>10</v>
      </c>
      <c r="L501" s="78" t="s">
        <v>203</v>
      </c>
      <c r="M501" s="75" t="s">
        <v>765</v>
      </c>
      <c r="N501" s="82">
        <v>2594.4</v>
      </c>
    </row>
    <row r="502" spans="2:14" x14ac:dyDescent="0.25">
      <c r="B502" s="74" t="s">
        <v>770</v>
      </c>
      <c r="C502" s="75">
        <v>56022842</v>
      </c>
      <c r="D502" s="75" t="s">
        <v>254</v>
      </c>
      <c r="E502" s="75">
        <v>61</v>
      </c>
      <c r="F502" s="75" t="s">
        <v>251</v>
      </c>
      <c r="G502" s="75" t="s">
        <v>247</v>
      </c>
      <c r="H502" s="75">
        <v>0</v>
      </c>
      <c r="I502" s="76">
        <v>2486</v>
      </c>
      <c r="J502" s="75" t="s">
        <v>256</v>
      </c>
      <c r="K502" s="77">
        <v>10</v>
      </c>
      <c r="L502" s="78" t="s">
        <v>263</v>
      </c>
      <c r="M502" s="75" t="s">
        <v>765</v>
      </c>
      <c r="N502" s="82">
        <v>1988.8</v>
      </c>
    </row>
    <row r="503" spans="2:14" x14ac:dyDescent="0.25">
      <c r="B503" s="74" t="s">
        <v>771</v>
      </c>
      <c r="C503" s="75">
        <v>57352601</v>
      </c>
      <c r="D503" s="75" t="s">
        <v>254</v>
      </c>
      <c r="E503" s="75">
        <v>51</v>
      </c>
      <c r="F503" s="75" t="s">
        <v>240</v>
      </c>
      <c r="G503" s="75" t="s">
        <v>258</v>
      </c>
      <c r="H503" s="75">
        <v>0</v>
      </c>
      <c r="I503" s="76">
        <v>2670</v>
      </c>
      <c r="J503" s="75" t="s">
        <v>242</v>
      </c>
      <c r="K503" s="77">
        <v>10</v>
      </c>
      <c r="L503" s="78" t="s">
        <v>210</v>
      </c>
      <c r="M503" s="75" t="s">
        <v>765</v>
      </c>
      <c r="N503" s="82">
        <v>2136</v>
      </c>
    </row>
    <row r="504" spans="2:14" x14ac:dyDescent="0.25">
      <c r="B504" s="74" t="s">
        <v>772</v>
      </c>
      <c r="C504" s="75">
        <v>61593777</v>
      </c>
      <c r="D504" s="75" t="s">
        <v>239</v>
      </c>
      <c r="E504" s="75">
        <v>50</v>
      </c>
      <c r="F504" s="75" t="s">
        <v>246</v>
      </c>
      <c r="G504" s="75" t="s">
        <v>241</v>
      </c>
      <c r="H504" s="75">
        <v>2</v>
      </c>
      <c r="I504" s="76">
        <v>7591</v>
      </c>
      <c r="J504" s="75" t="s">
        <v>269</v>
      </c>
      <c r="K504" s="77">
        <v>10</v>
      </c>
      <c r="L504" s="78" t="s">
        <v>209</v>
      </c>
      <c r="M504" s="75" t="s">
        <v>765</v>
      </c>
      <c r="N504" s="82">
        <v>6072.8</v>
      </c>
    </row>
    <row r="505" spans="2:14" x14ac:dyDescent="0.25">
      <c r="B505" s="74" t="s">
        <v>773</v>
      </c>
      <c r="C505" s="75">
        <v>54080554</v>
      </c>
      <c r="D505" s="75" t="s">
        <v>239</v>
      </c>
      <c r="E505" s="75">
        <v>33</v>
      </c>
      <c r="F505" s="75" t="s">
        <v>246</v>
      </c>
      <c r="G505" s="75" t="s">
        <v>247</v>
      </c>
      <c r="H505" s="75">
        <v>1</v>
      </c>
      <c r="I505" s="76">
        <v>4778</v>
      </c>
      <c r="J505" s="75" t="s">
        <v>248</v>
      </c>
      <c r="K505" s="77">
        <v>9</v>
      </c>
      <c r="L505" s="78" t="s">
        <v>210</v>
      </c>
      <c r="M505" s="75" t="s">
        <v>765</v>
      </c>
      <c r="N505" s="82">
        <v>3440.16</v>
      </c>
    </row>
    <row r="506" spans="2:14" x14ac:dyDescent="0.25">
      <c r="B506" s="74" t="s">
        <v>774</v>
      </c>
      <c r="C506" s="75">
        <v>70056667</v>
      </c>
      <c r="D506" s="75" t="s">
        <v>239</v>
      </c>
      <c r="E506" s="75">
        <v>40</v>
      </c>
      <c r="F506" s="75" t="s">
        <v>240</v>
      </c>
      <c r="G506" s="75" t="s">
        <v>252</v>
      </c>
      <c r="H506" s="75">
        <v>1</v>
      </c>
      <c r="I506" s="76">
        <v>7216</v>
      </c>
      <c r="J506" s="75" t="s">
        <v>248</v>
      </c>
      <c r="K506" s="77">
        <v>9</v>
      </c>
      <c r="L506" s="78" t="s">
        <v>210</v>
      </c>
      <c r="M506" s="75" t="s">
        <v>765</v>
      </c>
      <c r="N506" s="82">
        <v>5195.5200000000004</v>
      </c>
    </row>
    <row r="507" spans="2:14" x14ac:dyDescent="0.25">
      <c r="B507" s="74" t="s">
        <v>775</v>
      </c>
      <c r="C507" s="75">
        <v>32488263</v>
      </c>
      <c r="D507" s="75" t="s">
        <v>254</v>
      </c>
      <c r="E507" s="75">
        <v>18</v>
      </c>
      <c r="F507" s="75" t="s">
        <v>251</v>
      </c>
      <c r="G507" s="75" t="s">
        <v>258</v>
      </c>
      <c r="H507" s="75">
        <v>4</v>
      </c>
      <c r="I507" s="76">
        <v>7639</v>
      </c>
      <c r="J507" s="75" t="s">
        <v>262</v>
      </c>
      <c r="K507" s="77">
        <v>9</v>
      </c>
      <c r="L507" s="78" t="s">
        <v>193</v>
      </c>
      <c r="M507" s="75" t="s">
        <v>765</v>
      </c>
      <c r="N507" s="82">
        <v>5500.08</v>
      </c>
    </row>
    <row r="508" spans="2:14" x14ac:dyDescent="0.25">
      <c r="B508" s="74" t="s">
        <v>776</v>
      </c>
      <c r="C508" s="75">
        <v>38711964</v>
      </c>
      <c r="D508" s="75" t="s">
        <v>239</v>
      </c>
      <c r="E508" s="75">
        <v>60</v>
      </c>
      <c r="F508" s="75" t="s">
        <v>255</v>
      </c>
      <c r="G508" s="75" t="s">
        <v>241</v>
      </c>
      <c r="H508" s="75">
        <v>2</v>
      </c>
      <c r="I508" s="76">
        <v>6251</v>
      </c>
      <c r="J508" s="75" t="s">
        <v>269</v>
      </c>
      <c r="K508" s="77">
        <v>9</v>
      </c>
      <c r="L508" s="78" t="s">
        <v>212</v>
      </c>
      <c r="M508" s="75" t="s">
        <v>765</v>
      </c>
      <c r="N508" s="82">
        <v>4500.72</v>
      </c>
    </row>
    <row r="509" spans="2:14" x14ac:dyDescent="0.25">
      <c r="B509" s="74" t="s">
        <v>777</v>
      </c>
      <c r="C509" s="75">
        <v>56514073</v>
      </c>
      <c r="D509" s="75" t="s">
        <v>254</v>
      </c>
      <c r="E509" s="75">
        <v>23</v>
      </c>
      <c r="F509" s="75" t="s">
        <v>255</v>
      </c>
      <c r="G509" s="75" t="s">
        <v>252</v>
      </c>
      <c r="H509" s="75">
        <v>0</v>
      </c>
      <c r="I509" s="76">
        <v>4987</v>
      </c>
      <c r="J509" s="75" t="s">
        <v>262</v>
      </c>
      <c r="K509" s="77">
        <v>9</v>
      </c>
      <c r="L509" s="78" t="s">
        <v>213</v>
      </c>
      <c r="M509" s="75" t="s">
        <v>765</v>
      </c>
      <c r="N509" s="82">
        <v>3590.64</v>
      </c>
    </row>
    <row r="510" spans="2:14" x14ac:dyDescent="0.25">
      <c r="B510" s="74" t="s">
        <v>778</v>
      </c>
      <c r="C510" s="75">
        <v>32761074</v>
      </c>
      <c r="D510" s="75" t="s">
        <v>254</v>
      </c>
      <c r="E510" s="75">
        <v>57</v>
      </c>
      <c r="F510" s="75" t="s">
        <v>255</v>
      </c>
      <c r="G510" s="75" t="s">
        <v>252</v>
      </c>
      <c r="H510" s="75">
        <v>1</v>
      </c>
      <c r="I510" s="76">
        <v>9238</v>
      </c>
      <c r="J510" s="75" t="s">
        <v>248</v>
      </c>
      <c r="K510" s="77">
        <v>9</v>
      </c>
      <c r="L510" s="78" t="s">
        <v>215</v>
      </c>
      <c r="M510" s="75" t="s">
        <v>765</v>
      </c>
      <c r="N510" s="82">
        <v>6651.36</v>
      </c>
    </row>
    <row r="511" spans="2:14" x14ac:dyDescent="0.25">
      <c r="B511" s="74" t="s">
        <v>779</v>
      </c>
      <c r="C511" s="75">
        <v>25809304</v>
      </c>
      <c r="D511" s="75" t="s">
        <v>254</v>
      </c>
      <c r="E511" s="75">
        <v>27</v>
      </c>
      <c r="F511" s="75" t="s">
        <v>255</v>
      </c>
      <c r="G511" s="75" t="s">
        <v>241</v>
      </c>
      <c r="H511" s="75">
        <v>4</v>
      </c>
      <c r="I511" s="76">
        <v>8154</v>
      </c>
      <c r="J511" s="75" t="s">
        <v>248</v>
      </c>
      <c r="K511" s="77">
        <v>9</v>
      </c>
      <c r="L511" s="78" t="s">
        <v>271</v>
      </c>
      <c r="M511" s="75" t="s">
        <v>765</v>
      </c>
      <c r="N511" s="82">
        <v>5870.88</v>
      </c>
    </row>
    <row r="512" spans="2:14" x14ac:dyDescent="0.25">
      <c r="B512" s="74" t="s">
        <v>780</v>
      </c>
      <c r="C512" s="75">
        <v>69398163</v>
      </c>
      <c r="D512" s="75" t="s">
        <v>239</v>
      </c>
      <c r="E512" s="75">
        <v>34</v>
      </c>
      <c r="F512" s="75" t="s">
        <v>246</v>
      </c>
      <c r="G512" s="75" t="s">
        <v>247</v>
      </c>
      <c r="H512" s="75">
        <v>1</v>
      </c>
      <c r="I512" s="76">
        <v>3376</v>
      </c>
      <c r="J512" s="75" t="s">
        <v>248</v>
      </c>
      <c r="K512" s="77">
        <v>9</v>
      </c>
      <c r="L512" s="78" t="s">
        <v>263</v>
      </c>
      <c r="M512" s="75" t="s">
        <v>765</v>
      </c>
      <c r="N512" s="82">
        <v>2430.7199999999998</v>
      </c>
    </row>
    <row r="513" spans="2:14" x14ac:dyDescent="0.25">
      <c r="B513" s="74" t="s">
        <v>781</v>
      </c>
      <c r="C513" s="75">
        <v>26309277</v>
      </c>
      <c r="D513" s="75" t="s">
        <v>239</v>
      </c>
      <c r="E513" s="75">
        <v>18</v>
      </c>
      <c r="F513" s="75" t="s">
        <v>246</v>
      </c>
      <c r="G513" s="75" t="s">
        <v>247</v>
      </c>
      <c r="H513" s="75">
        <v>2</v>
      </c>
      <c r="I513" s="76">
        <v>3218</v>
      </c>
      <c r="J513" s="75" t="s">
        <v>248</v>
      </c>
      <c r="K513" s="77">
        <v>9</v>
      </c>
      <c r="L513" s="78" t="s">
        <v>279</v>
      </c>
      <c r="M513" s="75" t="s">
        <v>765</v>
      </c>
      <c r="N513" s="82">
        <v>2316.96</v>
      </c>
    </row>
    <row r="514" spans="2:14" x14ac:dyDescent="0.25">
      <c r="B514" s="74" t="s">
        <v>782</v>
      </c>
      <c r="C514" s="75">
        <v>63071975</v>
      </c>
      <c r="D514" s="75" t="s">
        <v>254</v>
      </c>
      <c r="E514" s="75">
        <v>40</v>
      </c>
      <c r="F514" s="75" t="s">
        <v>246</v>
      </c>
      <c r="G514" s="75" t="s">
        <v>252</v>
      </c>
      <c r="H514" s="75">
        <v>0</v>
      </c>
      <c r="I514" s="76">
        <v>4471</v>
      </c>
      <c r="J514" s="75" t="s">
        <v>256</v>
      </c>
      <c r="K514" s="77">
        <v>9</v>
      </c>
      <c r="L514" s="78" t="s">
        <v>271</v>
      </c>
      <c r="M514" s="75" t="s">
        <v>765</v>
      </c>
      <c r="N514" s="82">
        <v>3219.12</v>
      </c>
    </row>
    <row r="515" spans="2:14" x14ac:dyDescent="0.25">
      <c r="B515" s="74" t="s">
        <v>783</v>
      </c>
      <c r="C515" s="75">
        <v>53182809</v>
      </c>
      <c r="D515" s="75" t="s">
        <v>239</v>
      </c>
      <c r="E515" s="75">
        <v>52</v>
      </c>
      <c r="F515" s="75" t="s">
        <v>251</v>
      </c>
      <c r="G515" s="75" t="s">
        <v>252</v>
      </c>
      <c r="H515" s="75">
        <v>1</v>
      </c>
      <c r="I515" s="76">
        <v>2745</v>
      </c>
      <c r="J515" s="75" t="s">
        <v>248</v>
      </c>
      <c r="K515" s="77">
        <v>8</v>
      </c>
      <c r="L515" s="78" t="s">
        <v>210</v>
      </c>
      <c r="M515" s="75" t="s">
        <v>765</v>
      </c>
      <c r="N515" s="82">
        <v>1756.8</v>
      </c>
    </row>
    <row r="516" spans="2:14" x14ac:dyDescent="0.25">
      <c r="B516" s="74" t="s">
        <v>784</v>
      </c>
      <c r="C516" s="75">
        <v>34025100</v>
      </c>
      <c r="D516" s="75" t="s">
        <v>239</v>
      </c>
      <c r="E516" s="75">
        <v>57</v>
      </c>
      <c r="F516" s="75" t="s">
        <v>240</v>
      </c>
      <c r="G516" s="75" t="s">
        <v>252</v>
      </c>
      <c r="H516" s="75">
        <v>1</v>
      </c>
      <c r="I516" s="76">
        <v>3795</v>
      </c>
      <c r="J516" s="75" t="s">
        <v>262</v>
      </c>
      <c r="K516" s="77">
        <v>8</v>
      </c>
      <c r="L516" s="78" t="s">
        <v>215</v>
      </c>
      <c r="M516" s="75" t="s">
        <v>765</v>
      </c>
      <c r="N516" s="82">
        <v>2428.8000000000002</v>
      </c>
    </row>
    <row r="517" spans="2:14" x14ac:dyDescent="0.25">
      <c r="B517" s="74" t="s">
        <v>785</v>
      </c>
      <c r="C517" s="75">
        <v>70415416</v>
      </c>
      <c r="D517" s="75" t="s">
        <v>239</v>
      </c>
      <c r="E517" s="75">
        <v>22</v>
      </c>
      <c r="F517" s="75" t="s">
        <v>240</v>
      </c>
      <c r="G517" s="75" t="s">
        <v>252</v>
      </c>
      <c r="H517" s="75">
        <v>2</v>
      </c>
      <c r="I517" s="76">
        <v>9121</v>
      </c>
      <c r="J517" s="75" t="s">
        <v>262</v>
      </c>
      <c r="K517" s="77">
        <v>8</v>
      </c>
      <c r="L517" s="78" t="s">
        <v>271</v>
      </c>
      <c r="M517" s="75" t="s">
        <v>765</v>
      </c>
      <c r="N517" s="82">
        <v>5837.44</v>
      </c>
    </row>
    <row r="518" spans="2:14" x14ac:dyDescent="0.25">
      <c r="B518" s="74" t="s">
        <v>786</v>
      </c>
      <c r="C518" s="75">
        <v>28850367</v>
      </c>
      <c r="D518" s="75" t="s">
        <v>239</v>
      </c>
      <c r="E518" s="75">
        <v>21</v>
      </c>
      <c r="F518" s="75" t="s">
        <v>246</v>
      </c>
      <c r="G518" s="75" t="s">
        <v>258</v>
      </c>
      <c r="H518" s="75">
        <v>1</v>
      </c>
      <c r="I518" s="76">
        <v>3254</v>
      </c>
      <c r="J518" s="75" t="s">
        <v>269</v>
      </c>
      <c r="K518" s="77">
        <v>8</v>
      </c>
      <c r="L518" s="78" t="s">
        <v>215</v>
      </c>
      <c r="M518" s="75" t="s">
        <v>765</v>
      </c>
      <c r="N518" s="82">
        <v>2082.56</v>
      </c>
    </row>
    <row r="519" spans="2:14" x14ac:dyDescent="0.25">
      <c r="B519" s="74" t="s">
        <v>787</v>
      </c>
      <c r="C519" s="75">
        <v>51506588</v>
      </c>
      <c r="D519" s="75" t="s">
        <v>239</v>
      </c>
      <c r="E519" s="75">
        <v>35</v>
      </c>
      <c r="F519" s="75" t="s">
        <v>240</v>
      </c>
      <c r="G519" s="75" t="s">
        <v>252</v>
      </c>
      <c r="H519" s="75">
        <v>2</v>
      </c>
      <c r="I519" s="76">
        <v>3430</v>
      </c>
      <c r="J519" s="75" t="s">
        <v>269</v>
      </c>
      <c r="K519" s="77">
        <v>8</v>
      </c>
      <c r="L519" s="78" t="s">
        <v>212</v>
      </c>
      <c r="M519" s="75" t="s">
        <v>765</v>
      </c>
      <c r="N519" s="82">
        <v>2195.1999999999998</v>
      </c>
    </row>
    <row r="520" spans="2:14" x14ac:dyDescent="0.25">
      <c r="B520" s="74" t="s">
        <v>788</v>
      </c>
      <c r="C520" s="75">
        <v>56146252</v>
      </c>
      <c r="D520" s="75" t="s">
        <v>239</v>
      </c>
      <c r="E520" s="75">
        <v>38</v>
      </c>
      <c r="F520" s="75" t="s">
        <v>251</v>
      </c>
      <c r="G520" s="75" t="s">
        <v>247</v>
      </c>
      <c r="H520" s="75">
        <v>4</v>
      </c>
      <c r="I520" s="76">
        <v>6705</v>
      </c>
      <c r="J520" s="75" t="s">
        <v>248</v>
      </c>
      <c r="K520" s="77">
        <v>8</v>
      </c>
      <c r="L520" s="78" t="s">
        <v>279</v>
      </c>
      <c r="M520" s="75" t="s">
        <v>765</v>
      </c>
      <c r="N520" s="82">
        <v>4291.2</v>
      </c>
    </row>
    <row r="521" spans="2:14" x14ac:dyDescent="0.25">
      <c r="B521" s="74" t="s">
        <v>789</v>
      </c>
      <c r="C521" s="75">
        <v>60628619</v>
      </c>
      <c r="D521" s="75" t="s">
        <v>254</v>
      </c>
      <c r="E521" s="75">
        <v>63</v>
      </c>
      <c r="F521" s="75" t="s">
        <v>255</v>
      </c>
      <c r="G521" s="75" t="s">
        <v>247</v>
      </c>
      <c r="H521" s="75">
        <v>2</v>
      </c>
      <c r="I521" s="76">
        <v>3409</v>
      </c>
      <c r="J521" s="75" t="s">
        <v>242</v>
      </c>
      <c r="K521" s="77">
        <v>8</v>
      </c>
      <c r="L521" s="78" t="s">
        <v>214</v>
      </c>
      <c r="M521" s="75" t="s">
        <v>765</v>
      </c>
      <c r="N521" s="82">
        <v>2181.7600000000002</v>
      </c>
    </row>
    <row r="522" spans="2:14" x14ac:dyDescent="0.25">
      <c r="B522" s="74" t="s">
        <v>790</v>
      </c>
      <c r="C522" s="75">
        <v>48418505</v>
      </c>
      <c r="D522" s="75" t="s">
        <v>239</v>
      </c>
      <c r="E522" s="75">
        <v>41</v>
      </c>
      <c r="F522" s="75" t="s">
        <v>246</v>
      </c>
      <c r="G522" s="75" t="s">
        <v>252</v>
      </c>
      <c r="H522" s="75">
        <v>3</v>
      </c>
      <c r="I522" s="76">
        <v>8104</v>
      </c>
      <c r="J522" s="75" t="s">
        <v>262</v>
      </c>
      <c r="K522" s="77">
        <v>8</v>
      </c>
      <c r="L522" s="78" t="s">
        <v>193</v>
      </c>
      <c r="M522" s="75" t="s">
        <v>765</v>
      </c>
      <c r="N522" s="82">
        <v>5186.5600000000004</v>
      </c>
    </row>
    <row r="523" spans="2:14" x14ac:dyDescent="0.25">
      <c r="B523" s="74" t="s">
        <v>791</v>
      </c>
      <c r="C523" s="75">
        <v>64233589</v>
      </c>
      <c r="D523" s="75" t="s">
        <v>239</v>
      </c>
      <c r="E523" s="75">
        <v>54</v>
      </c>
      <c r="F523" s="75" t="s">
        <v>246</v>
      </c>
      <c r="G523" s="75" t="s">
        <v>247</v>
      </c>
      <c r="H523" s="75">
        <v>0</v>
      </c>
      <c r="I523" s="76">
        <v>2796</v>
      </c>
      <c r="J523" s="75" t="s">
        <v>262</v>
      </c>
      <c r="K523" s="77">
        <v>8</v>
      </c>
      <c r="L523" s="78" t="s">
        <v>214</v>
      </c>
      <c r="M523" s="75" t="s">
        <v>765</v>
      </c>
      <c r="N523" s="82">
        <v>1789.44</v>
      </c>
    </row>
    <row r="524" spans="2:14" x14ac:dyDescent="0.25">
      <c r="B524" s="74" t="s">
        <v>792</v>
      </c>
      <c r="C524" s="75">
        <v>61108092</v>
      </c>
      <c r="D524" s="75" t="s">
        <v>254</v>
      </c>
      <c r="E524" s="75">
        <v>48</v>
      </c>
      <c r="F524" s="75" t="s">
        <v>255</v>
      </c>
      <c r="G524" s="75" t="s">
        <v>241</v>
      </c>
      <c r="H524" s="75">
        <v>2</v>
      </c>
      <c r="I524" s="76">
        <v>6361</v>
      </c>
      <c r="J524" s="75" t="s">
        <v>248</v>
      </c>
      <c r="K524" s="77">
        <v>8</v>
      </c>
      <c r="L524" s="78" t="s">
        <v>213</v>
      </c>
      <c r="M524" s="75" t="s">
        <v>765</v>
      </c>
      <c r="N524" s="82">
        <v>4071.04</v>
      </c>
    </row>
    <row r="525" spans="2:14" x14ac:dyDescent="0.25">
      <c r="B525" s="74" t="s">
        <v>793</v>
      </c>
      <c r="C525" s="75">
        <v>22695868</v>
      </c>
      <c r="D525" s="75" t="s">
        <v>254</v>
      </c>
      <c r="E525" s="75">
        <v>65</v>
      </c>
      <c r="F525" s="75" t="s">
        <v>240</v>
      </c>
      <c r="G525" s="75" t="s">
        <v>241</v>
      </c>
      <c r="H525" s="75">
        <v>1</v>
      </c>
      <c r="I525" s="76">
        <v>8306</v>
      </c>
      <c r="J525" s="75" t="s">
        <v>269</v>
      </c>
      <c r="K525" s="77">
        <v>8</v>
      </c>
      <c r="L525" s="78" t="s">
        <v>212</v>
      </c>
      <c r="M525" s="75" t="s">
        <v>765</v>
      </c>
      <c r="N525" s="82">
        <v>5315.84</v>
      </c>
    </row>
    <row r="526" spans="2:14" x14ac:dyDescent="0.25">
      <c r="B526" s="74" t="s">
        <v>794</v>
      </c>
      <c r="C526" s="75">
        <v>50120057</v>
      </c>
      <c r="D526" s="75" t="s">
        <v>254</v>
      </c>
      <c r="E526" s="75">
        <v>32</v>
      </c>
      <c r="F526" s="75" t="s">
        <v>251</v>
      </c>
      <c r="G526" s="75" t="s">
        <v>241</v>
      </c>
      <c r="H526" s="75">
        <v>2</v>
      </c>
      <c r="I526" s="76">
        <v>8540</v>
      </c>
      <c r="J526" s="75" t="s">
        <v>242</v>
      </c>
      <c r="K526" s="77">
        <v>8</v>
      </c>
      <c r="L526" s="78" t="s">
        <v>203</v>
      </c>
      <c r="M526" s="75" t="s">
        <v>765</v>
      </c>
      <c r="N526" s="82">
        <v>5465.6</v>
      </c>
    </row>
    <row r="527" spans="2:14" x14ac:dyDescent="0.25">
      <c r="B527" s="74" t="s">
        <v>795</v>
      </c>
      <c r="C527" s="75">
        <v>65006148</v>
      </c>
      <c r="D527" s="75" t="s">
        <v>239</v>
      </c>
      <c r="E527" s="75">
        <v>41</v>
      </c>
      <c r="F527" s="75" t="s">
        <v>246</v>
      </c>
      <c r="G527" s="75" t="s">
        <v>258</v>
      </c>
      <c r="H527" s="75">
        <v>4</v>
      </c>
      <c r="I527" s="76">
        <v>6942</v>
      </c>
      <c r="J527" s="75" t="s">
        <v>269</v>
      </c>
      <c r="K527" s="77">
        <v>8</v>
      </c>
      <c r="L527" s="78" t="s">
        <v>209</v>
      </c>
      <c r="M527" s="75" t="s">
        <v>765</v>
      </c>
      <c r="N527" s="82">
        <v>4442.88</v>
      </c>
    </row>
    <row r="528" spans="2:14" x14ac:dyDescent="0.25">
      <c r="B528" s="74" t="s">
        <v>796</v>
      </c>
      <c r="C528" s="75">
        <v>46475347</v>
      </c>
      <c r="D528" s="75" t="s">
        <v>254</v>
      </c>
      <c r="E528" s="75">
        <v>19</v>
      </c>
      <c r="F528" s="75" t="s">
        <v>246</v>
      </c>
      <c r="G528" s="75" t="s">
        <v>241</v>
      </c>
      <c r="H528" s="75">
        <v>1</v>
      </c>
      <c r="I528" s="76">
        <v>7389</v>
      </c>
      <c r="J528" s="75" t="s">
        <v>242</v>
      </c>
      <c r="K528" s="77">
        <v>8</v>
      </c>
      <c r="L528" s="78" t="s">
        <v>203</v>
      </c>
      <c r="M528" s="75" t="s">
        <v>765</v>
      </c>
      <c r="N528" s="82">
        <v>4728.96</v>
      </c>
    </row>
    <row r="529" spans="2:14" x14ac:dyDescent="0.25">
      <c r="B529" s="74" t="s">
        <v>797</v>
      </c>
      <c r="C529" s="75">
        <v>42844283</v>
      </c>
      <c r="D529" s="75" t="s">
        <v>239</v>
      </c>
      <c r="E529" s="75">
        <v>61</v>
      </c>
      <c r="F529" s="75" t="s">
        <v>240</v>
      </c>
      <c r="G529" s="75" t="s">
        <v>258</v>
      </c>
      <c r="H529" s="75">
        <v>4</v>
      </c>
      <c r="I529" s="76">
        <v>9277</v>
      </c>
      <c r="J529" s="75" t="s">
        <v>256</v>
      </c>
      <c r="K529" s="77">
        <v>8</v>
      </c>
      <c r="L529" s="78" t="s">
        <v>263</v>
      </c>
      <c r="M529" s="75" t="s">
        <v>765</v>
      </c>
      <c r="N529" s="82">
        <v>5937.28</v>
      </c>
    </row>
    <row r="530" spans="2:14" x14ac:dyDescent="0.25">
      <c r="B530" s="74" t="s">
        <v>798</v>
      </c>
      <c r="C530" s="75">
        <v>61271164</v>
      </c>
      <c r="D530" s="75" t="s">
        <v>254</v>
      </c>
      <c r="E530" s="75">
        <v>42</v>
      </c>
      <c r="F530" s="75" t="s">
        <v>255</v>
      </c>
      <c r="G530" s="75" t="s">
        <v>247</v>
      </c>
      <c r="H530" s="75">
        <v>4</v>
      </c>
      <c r="I530" s="76">
        <v>4665</v>
      </c>
      <c r="J530" s="75" t="s">
        <v>256</v>
      </c>
      <c r="K530" s="77">
        <v>8</v>
      </c>
      <c r="L530" s="78" t="s">
        <v>213</v>
      </c>
      <c r="M530" s="75" t="s">
        <v>765</v>
      </c>
      <c r="N530" s="82">
        <v>2985.6</v>
      </c>
    </row>
    <row r="531" spans="2:14" x14ac:dyDescent="0.25">
      <c r="B531" s="74" t="s">
        <v>799</v>
      </c>
      <c r="C531" s="75">
        <v>42771853</v>
      </c>
      <c r="D531" s="75" t="s">
        <v>254</v>
      </c>
      <c r="E531" s="75">
        <v>62</v>
      </c>
      <c r="F531" s="75" t="s">
        <v>240</v>
      </c>
      <c r="G531" s="75" t="s">
        <v>252</v>
      </c>
      <c r="H531" s="75">
        <v>1</v>
      </c>
      <c r="I531" s="76">
        <v>5203</v>
      </c>
      <c r="J531" s="75" t="s">
        <v>242</v>
      </c>
      <c r="K531" s="77">
        <v>8</v>
      </c>
      <c r="L531" s="78" t="s">
        <v>279</v>
      </c>
      <c r="M531" s="75" t="s">
        <v>765</v>
      </c>
      <c r="N531" s="82">
        <v>3329.92</v>
      </c>
    </row>
    <row r="532" spans="2:14" x14ac:dyDescent="0.25">
      <c r="B532" s="74" t="s">
        <v>800</v>
      </c>
      <c r="C532" s="75">
        <v>60941801</v>
      </c>
      <c r="D532" s="75" t="s">
        <v>254</v>
      </c>
      <c r="E532" s="75">
        <v>35</v>
      </c>
      <c r="F532" s="75" t="s">
        <v>255</v>
      </c>
      <c r="G532" s="75" t="s">
        <v>247</v>
      </c>
      <c r="H532" s="75">
        <v>0</v>
      </c>
      <c r="I532" s="76">
        <v>7921</v>
      </c>
      <c r="J532" s="75" t="s">
        <v>242</v>
      </c>
      <c r="K532" s="77">
        <v>7</v>
      </c>
      <c r="L532" s="78" t="s">
        <v>203</v>
      </c>
      <c r="M532" s="75" t="s">
        <v>765</v>
      </c>
      <c r="N532" s="82">
        <v>4435.76</v>
      </c>
    </row>
    <row r="533" spans="2:14" x14ac:dyDescent="0.25">
      <c r="B533" s="74" t="s">
        <v>801</v>
      </c>
      <c r="C533" s="75">
        <v>44403727</v>
      </c>
      <c r="D533" s="75" t="s">
        <v>239</v>
      </c>
      <c r="E533" s="75">
        <v>34</v>
      </c>
      <c r="F533" s="75" t="s">
        <v>246</v>
      </c>
      <c r="G533" s="75" t="s">
        <v>241</v>
      </c>
      <c r="H533" s="75">
        <v>2</v>
      </c>
      <c r="I533" s="76">
        <v>2313</v>
      </c>
      <c r="J533" s="75" t="s">
        <v>269</v>
      </c>
      <c r="K533" s="77">
        <v>7</v>
      </c>
      <c r="L533" s="78" t="s">
        <v>279</v>
      </c>
      <c r="M533" s="75" t="s">
        <v>765</v>
      </c>
      <c r="N533" s="82">
        <v>1295.28</v>
      </c>
    </row>
    <row r="534" spans="2:14" x14ac:dyDescent="0.25">
      <c r="B534" s="74" t="s">
        <v>802</v>
      </c>
      <c r="C534" s="75">
        <v>61383281</v>
      </c>
      <c r="D534" s="75" t="s">
        <v>254</v>
      </c>
      <c r="E534" s="75">
        <v>63</v>
      </c>
      <c r="F534" s="75" t="s">
        <v>240</v>
      </c>
      <c r="G534" s="75" t="s">
        <v>247</v>
      </c>
      <c r="H534" s="75">
        <v>1</v>
      </c>
      <c r="I534" s="76">
        <v>9762</v>
      </c>
      <c r="J534" s="75" t="s">
        <v>256</v>
      </c>
      <c r="K534" s="77">
        <v>7</v>
      </c>
      <c r="L534" s="78" t="s">
        <v>271</v>
      </c>
      <c r="M534" s="75" t="s">
        <v>765</v>
      </c>
      <c r="N534" s="82">
        <v>5466.72</v>
      </c>
    </row>
    <row r="535" spans="2:14" x14ac:dyDescent="0.25">
      <c r="B535" s="74" t="s">
        <v>803</v>
      </c>
      <c r="C535" s="75">
        <v>62527963</v>
      </c>
      <c r="D535" s="75" t="s">
        <v>239</v>
      </c>
      <c r="E535" s="75">
        <v>42</v>
      </c>
      <c r="F535" s="75" t="s">
        <v>246</v>
      </c>
      <c r="G535" s="75" t="s">
        <v>252</v>
      </c>
      <c r="H535" s="75">
        <v>2</v>
      </c>
      <c r="I535" s="76">
        <v>4779</v>
      </c>
      <c r="J535" s="75" t="s">
        <v>248</v>
      </c>
      <c r="K535" s="77">
        <v>7</v>
      </c>
      <c r="L535" s="78" t="s">
        <v>210</v>
      </c>
      <c r="M535" s="75" t="s">
        <v>765</v>
      </c>
      <c r="N535" s="82">
        <v>2676.24</v>
      </c>
    </row>
    <row r="536" spans="2:14" x14ac:dyDescent="0.25">
      <c r="B536" s="74" t="s">
        <v>804</v>
      </c>
      <c r="C536" s="75">
        <v>23896927</v>
      </c>
      <c r="D536" s="75" t="s">
        <v>254</v>
      </c>
      <c r="E536" s="75">
        <v>62</v>
      </c>
      <c r="F536" s="75" t="s">
        <v>240</v>
      </c>
      <c r="G536" s="75" t="s">
        <v>247</v>
      </c>
      <c r="H536" s="75">
        <v>1</v>
      </c>
      <c r="I536" s="76">
        <v>8065</v>
      </c>
      <c r="J536" s="75" t="s">
        <v>256</v>
      </c>
      <c r="K536" s="77">
        <v>7</v>
      </c>
      <c r="L536" s="78" t="s">
        <v>243</v>
      </c>
      <c r="M536" s="75" t="s">
        <v>765</v>
      </c>
      <c r="N536" s="82">
        <v>4516.3999999999996</v>
      </c>
    </row>
    <row r="537" spans="2:14" x14ac:dyDescent="0.25">
      <c r="B537" s="74" t="s">
        <v>805</v>
      </c>
      <c r="C537" s="75">
        <v>57331660</v>
      </c>
      <c r="D537" s="75" t="s">
        <v>254</v>
      </c>
      <c r="E537" s="75">
        <v>31</v>
      </c>
      <c r="F537" s="75" t="s">
        <v>251</v>
      </c>
      <c r="G537" s="75" t="s">
        <v>258</v>
      </c>
      <c r="H537" s="75">
        <v>2</v>
      </c>
      <c r="I537" s="76">
        <v>6709</v>
      </c>
      <c r="J537" s="75" t="s">
        <v>256</v>
      </c>
      <c r="K537" s="77">
        <v>7</v>
      </c>
      <c r="L537" s="78" t="s">
        <v>214</v>
      </c>
      <c r="M537" s="75" t="s">
        <v>765</v>
      </c>
      <c r="N537" s="82">
        <v>3757.04</v>
      </c>
    </row>
    <row r="538" spans="2:14" x14ac:dyDescent="0.25">
      <c r="B538" s="74" t="s">
        <v>806</v>
      </c>
      <c r="C538" s="75">
        <v>39029625</v>
      </c>
      <c r="D538" s="75" t="s">
        <v>239</v>
      </c>
      <c r="E538" s="75">
        <v>55</v>
      </c>
      <c r="F538" s="75" t="s">
        <v>240</v>
      </c>
      <c r="G538" s="75" t="s">
        <v>252</v>
      </c>
      <c r="H538" s="75">
        <v>4</v>
      </c>
      <c r="I538" s="76">
        <v>8061</v>
      </c>
      <c r="J538" s="75" t="s">
        <v>256</v>
      </c>
      <c r="K538" s="77">
        <v>7</v>
      </c>
      <c r="L538" s="78" t="s">
        <v>193</v>
      </c>
      <c r="M538" s="75" t="s">
        <v>765</v>
      </c>
      <c r="N538" s="82">
        <v>4514.16</v>
      </c>
    </row>
    <row r="539" spans="2:14" x14ac:dyDescent="0.25">
      <c r="B539" s="74" t="s">
        <v>807</v>
      </c>
      <c r="C539" s="75">
        <v>37964824</v>
      </c>
      <c r="D539" s="75" t="s">
        <v>254</v>
      </c>
      <c r="E539" s="75">
        <v>19</v>
      </c>
      <c r="F539" s="75" t="s">
        <v>255</v>
      </c>
      <c r="G539" s="75" t="s">
        <v>258</v>
      </c>
      <c r="H539" s="75">
        <v>3</v>
      </c>
      <c r="I539" s="76">
        <v>6533</v>
      </c>
      <c r="J539" s="75" t="s">
        <v>242</v>
      </c>
      <c r="K539" s="77">
        <v>7</v>
      </c>
      <c r="L539" s="78" t="s">
        <v>210</v>
      </c>
      <c r="M539" s="75" t="s">
        <v>765</v>
      </c>
      <c r="N539" s="82">
        <v>3658.48</v>
      </c>
    </row>
    <row r="540" spans="2:14" x14ac:dyDescent="0.25">
      <c r="B540" s="74" t="s">
        <v>808</v>
      </c>
      <c r="C540" s="75">
        <v>60891574</v>
      </c>
      <c r="D540" s="75" t="s">
        <v>254</v>
      </c>
      <c r="E540" s="75">
        <v>53</v>
      </c>
      <c r="F540" s="75" t="s">
        <v>251</v>
      </c>
      <c r="G540" s="75" t="s">
        <v>252</v>
      </c>
      <c r="H540" s="75">
        <v>4</v>
      </c>
      <c r="I540" s="76">
        <v>4309</v>
      </c>
      <c r="J540" s="75" t="s">
        <v>262</v>
      </c>
      <c r="K540" s="77">
        <v>6</v>
      </c>
      <c r="L540" s="78" t="s">
        <v>279</v>
      </c>
      <c r="M540" s="75" t="s">
        <v>765</v>
      </c>
      <c r="N540" s="82">
        <v>2068.3200000000002</v>
      </c>
    </row>
    <row r="541" spans="2:14" x14ac:dyDescent="0.25">
      <c r="B541" s="74" t="s">
        <v>809</v>
      </c>
      <c r="C541" s="75">
        <v>67561915</v>
      </c>
      <c r="D541" s="75" t="s">
        <v>239</v>
      </c>
      <c r="E541" s="75">
        <v>37</v>
      </c>
      <c r="F541" s="75" t="s">
        <v>251</v>
      </c>
      <c r="G541" s="75" t="s">
        <v>247</v>
      </c>
      <c r="H541" s="75">
        <v>1</v>
      </c>
      <c r="I541" s="76">
        <v>8243</v>
      </c>
      <c r="J541" s="75" t="s">
        <v>242</v>
      </c>
      <c r="K541" s="77">
        <v>6</v>
      </c>
      <c r="L541" s="78" t="s">
        <v>263</v>
      </c>
      <c r="M541" s="75" t="s">
        <v>765</v>
      </c>
      <c r="N541" s="82">
        <v>3956.64</v>
      </c>
    </row>
    <row r="542" spans="2:14" x14ac:dyDescent="0.25">
      <c r="B542" s="74" t="s">
        <v>810</v>
      </c>
      <c r="C542" s="75">
        <v>43499135</v>
      </c>
      <c r="D542" s="75" t="s">
        <v>254</v>
      </c>
      <c r="E542" s="75">
        <v>18</v>
      </c>
      <c r="F542" s="75" t="s">
        <v>255</v>
      </c>
      <c r="G542" s="75" t="s">
        <v>241</v>
      </c>
      <c r="H542" s="75">
        <v>0</v>
      </c>
      <c r="I542" s="76">
        <v>4990</v>
      </c>
      <c r="J542" s="75" t="s">
        <v>242</v>
      </c>
      <c r="K542" s="77">
        <v>6</v>
      </c>
      <c r="L542" s="78" t="s">
        <v>193</v>
      </c>
      <c r="M542" s="75" t="s">
        <v>765</v>
      </c>
      <c r="N542" s="82">
        <v>2395.1999999999998</v>
      </c>
    </row>
    <row r="543" spans="2:14" x14ac:dyDescent="0.25">
      <c r="B543" s="74" t="s">
        <v>811</v>
      </c>
      <c r="C543" s="75">
        <v>66941072</v>
      </c>
      <c r="D543" s="75" t="s">
        <v>254</v>
      </c>
      <c r="E543" s="75">
        <v>61</v>
      </c>
      <c r="F543" s="75" t="s">
        <v>246</v>
      </c>
      <c r="G543" s="75" t="s">
        <v>247</v>
      </c>
      <c r="H543" s="75">
        <v>0</v>
      </c>
      <c r="I543" s="76">
        <v>7808</v>
      </c>
      <c r="J543" s="75" t="s">
        <v>262</v>
      </c>
      <c r="K543" s="77">
        <v>6</v>
      </c>
      <c r="L543" s="78" t="s">
        <v>193</v>
      </c>
      <c r="M543" s="75" t="s">
        <v>765</v>
      </c>
      <c r="N543" s="82">
        <v>3747.84</v>
      </c>
    </row>
    <row r="544" spans="2:14" x14ac:dyDescent="0.25">
      <c r="B544" s="74" t="s">
        <v>812</v>
      </c>
      <c r="C544" s="75">
        <v>27775677</v>
      </c>
      <c r="D544" s="75" t="s">
        <v>254</v>
      </c>
      <c r="E544" s="75">
        <v>64</v>
      </c>
      <c r="F544" s="75" t="s">
        <v>251</v>
      </c>
      <c r="G544" s="75" t="s">
        <v>258</v>
      </c>
      <c r="H544" s="75">
        <v>2</v>
      </c>
      <c r="I544" s="76">
        <v>9442</v>
      </c>
      <c r="J544" s="75" t="s">
        <v>248</v>
      </c>
      <c r="K544" s="77">
        <v>6</v>
      </c>
      <c r="L544" s="78" t="s">
        <v>209</v>
      </c>
      <c r="M544" s="75" t="s">
        <v>765</v>
      </c>
      <c r="N544" s="82">
        <v>4532.16</v>
      </c>
    </row>
    <row r="545" spans="2:14" x14ac:dyDescent="0.25">
      <c r="B545" s="74" t="s">
        <v>813</v>
      </c>
      <c r="C545" s="75">
        <v>65493011</v>
      </c>
      <c r="D545" s="75" t="s">
        <v>239</v>
      </c>
      <c r="E545" s="75">
        <v>56</v>
      </c>
      <c r="F545" s="75" t="s">
        <v>240</v>
      </c>
      <c r="G545" s="75" t="s">
        <v>241</v>
      </c>
      <c r="H545" s="75">
        <v>1</v>
      </c>
      <c r="I545" s="76">
        <v>2100</v>
      </c>
      <c r="J545" s="75" t="s">
        <v>256</v>
      </c>
      <c r="K545" s="77">
        <v>6</v>
      </c>
      <c r="L545" s="78" t="s">
        <v>212</v>
      </c>
      <c r="M545" s="75" t="s">
        <v>765</v>
      </c>
      <c r="N545" s="82">
        <v>1008</v>
      </c>
    </row>
    <row r="546" spans="2:14" x14ac:dyDescent="0.25">
      <c r="B546" s="74" t="s">
        <v>814</v>
      </c>
      <c r="C546" s="75">
        <v>50432404</v>
      </c>
      <c r="D546" s="75" t="s">
        <v>254</v>
      </c>
      <c r="E546" s="75">
        <v>26</v>
      </c>
      <c r="F546" s="75" t="s">
        <v>246</v>
      </c>
      <c r="G546" s="75" t="s">
        <v>247</v>
      </c>
      <c r="H546" s="75">
        <v>2</v>
      </c>
      <c r="I546" s="76">
        <v>7741</v>
      </c>
      <c r="J546" s="75" t="s">
        <v>248</v>
      </c>
      <c r="K546" s="77">
        <v>6</v>
      </c>
      <c r="L546" s="78" t="s">
        <v>193</v>
      </c>
      <c r="M546" s="75" t="s">
        <v>765</v>
      </c>
      <c r="N546" s="82">
        <v>3715.68</v>
      </c>
    </row>
    <row r="547" spans="2:14" x14ac:dyDescent="0.25">
      <c r="B547" s="74" t="s">
        <v>815</v>
      </c>
      <c r="C547" s="75">
        <v>57027361</v>
      </c>
      <c r="D547" s="75" t="s">
        <v>239</v>
      </c>
      <c r="E547" s="75">
        <v>29</v>
      </c>
      <c r="F547" s="75" t="s">
        <v>255</v>
      </c>
      <c r="G547" s="75" t="s">
        <v>247</v>
      </c>
      <c r="H547" s="75">
        <v>4</v>
      </c>
      <c r="I547" s="76">
        <v>8884</v>
      </c>
      <c r="J547" s="75" t="s">
        <v>256</v>
      </c>
      <c r="K547" s="77">
        <v>6</v>
      </c>
      <c r="L547" s="78" t="s">
        <v>193</v>
      </c>
      <c r="M547" s="75" t="s">
        <v>765</v>
      </c>
      <c r="N547" s="82">
        <v>4264.32</v>
      </c>
    </row>
    <row r="548" spans="2:14" x14ac:dyDescent="0.25">
      <c r="B548" s="74" t="s">
        <v>816</v>
      </c>
      <c r="C548" s="75">
        <v>63407118</v>
      </c>
      <c r="D548" s="75" t="s">
        <v>239</v>
      </c>
      <c r="E548" s="75">
        <v>39</v>
      </c>
      <c r="F548" s="75" t="s">
        <v>251</v>
      </c>
      <c r="G548" s="75" t="s">
        <v>252</v>
      </c>
      <c r="H548" s="75">
        <v>2</v>
      </c>
      <c r="I548" s="76">
        <v>5406</v>
      </c>
      <c r="J548" s="75" t="s">
        <v>262</v>
      </c>
      <c r="K548" s="77">
        <v>6</v>
      </c>
      <c r="L548" s="78" t="s">
        <v>213</v>
      </c>
      <c r="M548" s="75" t="s">
        <v>765</v>
      </c>
      <c r="N548" s="82">
        <v>2594.88</v>
      </c>
    </row>
    <row r="549" spans="2:14" x14ac:dyDescent="0.25">
      <c r="B549" s="74" t="s">
        <v>817</v>
      </c>
      <c r="C549" s="75">
        <v>26674132</v>
      </c>
      <c r="D549" s="75" t="s">
        <v>239</v>
      </c>
      <c r="E549" s="75">
        <v>23</v>
      </c>
      <c r="F549" s="75" t="s">
        <v>255</v>
      </c>
      <c r="G549" s="75" t="s">
        <v>252</v>
      </c>
      <c r="H549" s="75">
        <v>1</v>
      </c>
      <c r="I549" s="76">
        <v>5492</v>
      </c>
      <c r="J549" s="75" t="s">
        <v>242</v>
      </c>
      <c r="K549" s="77">
        <v>6</v>
      </c>
      <c r="L549" s="78" t="s">
        <v>271</v>
      </c>
      <c r="M549" s="75" t="s">
        <v>765</v>
      </c>
      <c r="N549" s="82">
        <v>2636.16</v>
      </c>
    </row>
    <row r="550" spans="2:14" x14ac:dyDescent="0.25">
      <c r="B550" s="74" t="s">
        <v>818</v>
      </c>
      <c r="C550" s="75">
        <v>50723311</v>
      </c>
      <c r="D550" s="75" t="s">
        <v>254</v>
      </c>
      <c r="E550" s="75">
        <v>34</v>
      </c>
      <c r="F550" s="75" t="s">
        <v>240</v>
      </c>
      <c r="G550" s="75" t="s">
        <v>241</v>
      </c>
      <c r="H550" s="75">
        <v>0</v>
      </c>
      <c r="I550" s="76">
        <v>3376</v>
      </c>
      <c r="J550" s="75" t="s">
        <v>256</v>
      </c>
      <c r="K550" s="77">
        <v>6</v>
      </c>
      <c r="L550" s="78" t="s">
        <v>193</v>
      </c>
      <c r="M550" s="75" t="s">
        <v>765</v>
      </c>
      <c r="N550" s="82">
        <v>1620.48</v>
      </c>
    </row>
    <row r="551" spans="2:14" x14ac:dyDescent="0.25">
      <c r="B551" s="74" t="s">
        <v>819</v>
      </c>
      <c r="C551" s="75">
        <v>44410997</v>
      </c>
      <c r="D551" s="75" t="s">
        <v>254</v>
      </c>
      <c r="E551" s="75">
        <v>64</v>
      </c>
      <c r="F551" s="75" t="s">
        <v>255</v>
      </c>
      <c r="G551" s="75" t="s">
        <v>247</v>
      </c>
      <c r="H551" s="75">
        <v>2</v>
      </c>
      <c r="I551" s="76">
        <v>9486</v>
      </c>
      <c r="J551" s="75" t="s">
        <v>242</v>
      </c>
      <c r="K551" s="77">
        <v>6</v>
      </c>
      <c r="L551" s="78" t="s">
        <v>210</v>
      </c>
      <c r="M551" s="75" t="s">
        <v>765</v>
      </c>
      <c r="N551" s="82">
        <v>4553.28</v>
      </c>
    </row>
    <row r="552" spans="2:14" x14ac:dyDescent="0.25">
      <c r="B552" s="74" t="s">
        <v>820</v>
      </c>
      <c r="C552" s="75">
        <v>47336937</v>
      </c>
      <c r="D552" s="75" t="s">
        <v>254</v>
      </c>
      <c r="E552" s="75">
        <v>27</v>
      </c>
      <c r="F552" s="75" t="s">
        <v>251</v>
      </c>
      <c r="G552" s="75" t="s">
        <v>252</v>
      </c>
      <c r="H552" s="75">
        <v>0</v>
      </c>
      <c r="I552" s="76">
        <v>7939</v>
      </c>
      <c r="J552" s="75" t="s">
        <v>256</v>
      </c>
      <c r="K552" s="77">
        <v>6</v>
      </c>
      <c r="L552" s="78" t="s">
        <v>214</v>
      </c>
      <c r="M552" s="75" t="s">
        <v>765</v>
      </c>
      <c r="N552" s="82">
        <v>3810.72</v>
      </c>
    </row>
    <row r="553" spans="2:14" x14ac:dyDescent="0.25">
      <c r="B553" s="74" t="s">
        <v>821</v>
      </c>
      <c r="C553" s="75">
        <v>40312751</v>
      </c>
      <c r="D553" s="75" t="s">
        <v>239</v>
      </c>
      <c r="E553" s="75">
        <v>44</v>
      </c>
      <c r="F553" s="75" t="s">
        <v>240</v>
      </c>
      <c r="G553" s="75" t="s">
        <v>258</v>
      </c>
      <c r="H553" s="75">
        <v>1</v>
      </c>
      <c r="I553" s="76">
        <v>3028</v>
      </c>
      <c r="J553" s="75" t="s">
        <v>242</v>
      </c>
      <c r="K553" s="77">
        <v>5</v>
      </c>
      <c r="L553" s="78" t="s">
        <v>214</v>
      </c>
      <c r="M553" s="75" t="s">
        <v>765</v>
      </c>
      <c r="N553" s="82">
        <v>1211.2</v>
      </c>
    </row>
    <row r="554" spans="2:14" x14ac:dyDescent="0.25">
      <c r="B554" s="74" t="s">
        <v>822</v>
      </c>
      <c r="C554" s="75">
        <v>47909159</v>
      </c>
      <c r="D554" s="75" t="s">
        <v>254</v>
      </c>
      <c r="E554" s="75">
        <v>36</v>
      </c>
      <c r="F554" s="75" t="s">
        <v>246</v>
      </c>
      <c r="G554" s="75" t="s">
        <v>252</v>
      </c>
      <c r="H554" s="75">
        <v>1</v>
      </c>
      <c r="I554" s="76">
        <v>2133</v>
      </c>
      <c r="J554" s="75" t="s">
        <v>248</v>
      </c>
      <c r="K554" s="77">
        <v>5</v>
      </c>
      <c r="L554" s="78" t="s">
        <v>193</v>
      </c>
      <c r="M554" s="75" t="s">
        <v>765</v>
      </c>
      <c r="N554" s="82">
        <v>853.2</v>
      </c>
    </row>
    <row r="555" spans="2:14" x14ac:dyDescent="0.25">
      <c r="B555" s="74" t="s">
        <v>823</v>
      </c>
      <c r="C555" s="75">
        <v>66223343</v>
      </c>
      <c r="D555" s="75" t="s">
        <v>254</v>
      </c>
      <c r="E555" s="75">
        <v>21</v>
      </c>
      <c r="F555" s="75" t="s">
        <v>251</v>
      </c>
      <c r="G555" s="75" t="s">
        <v>258</v>
      </c>
      <c r="H555" s="75">
        <v>1</v>
      </c>
      <c r="I555" s="76">
        <v>4758</v>
      </c>
      <c r="J555" s="75" t="s">
        <v>248</v>
      </c>
      <c r="K555" s="77">
        <v>5</v>
      </c>
      <c r="L555" s="78" t="s">
        <v>214</v>
      </c>
      <c r="M555" s="75" t="s">
        <v>765</v>
      </c>
      <c r="N555" s="82">
        <v>1903.2</v>
      </c>
    </row>
    <row r="556" spans="2:14" x14ac:dyDescent="0.25">
      <c r="B556" s="74" t="s">
        <v>824</v>
      </c>
      <c r="C556" s="75">
        <v>35226060</v>
      </c>
      <c r="D556" s="75" t="s">
        <v>254</v>
      </c>
      <c r="E556" s="75">
        <v>39</v>
      </c>
      <c r="F556" s="75" t="s">
        <v>246</v>
      </c>
      <c r="G556" s="75" t="s">
        <v>241</v>
      </c>
      <c r="H556" s="75">
        <v>4</v>
      </c>
      <c r="I556" s="76">
        <v>7092</v>
      </c>
      <c r="J556" s="75" t="s">
        <v>262</v>
      </c>
      <c r="K556" s="77">
        <v>5</v>
      </c>
      <c r="L556" s="78" t="s">
        <v>271</v>
      </c>
      <c r="M556" s="75" t="s">
        <v>765</v>
      </c>
      <c r="N556" s="82">
        <v>2836.8</v>
      </c>
    </row>
    <row r="557" spans="2:14" x14ac:dyDescent="0.25">
      <c r="B557" s="74" t="s">
        <v>825</v>
      </c>
      <c r="C557" s="75">
        <v>68403615</v>
      </c>
      <c r="D557" s="75" t="s">
        <v>254</v>
      </c>
      <c r="E557" s="75">
        <v>49</v>
      </c>
      <c r="F557" s="75" t="s">
        <v>251</v>
      </c>
      <c r="G557" s="75" t="s">
        <v>241</v>
      </c>
      <c r="H557" s="75">
        <v>1</v>
      </c>
      <c r="I557" s="76">
        <v>7642</v>
      </c>
      <c r="J557" s="75" t="s">
        <v>269</v>
      </c>
      <c r="K557" s="77">
        <v>5</v>
      </c>
      <c r="L557" s="78" t="s">
        <v>203</v>
      </c>
      <c r="M557" s="75" t="s">
        <v>765</v>
      </c>
      <c r="N557" s="82">
        <v>3056.8</v>
      </c>
    </row>
    <row r="558" spans="2:14" x14ac:dyDescent="0.25">
      <c r="B558" s="74" t="s">
        <v>826</v>
      </c>
      <c r="C558" s="75">
        <v>42389250</v>
      </c>
      <c r="D558" s="75" t="s">
        <v>239</v>
      </c>
      <c r="E558" s="75">
        <v>54</v>
      </c>
      <c r="F558" s="75" t="s">
        <v>240</v>
      </c>
      <c r="G558" s="75" t="s">
        <v>241</v>
      </c>
      <c r="H558" s="75">
        <v>0</v>
      </c>
      <c r="I558" s="76">
        <v>9534</v>
      </c>
      <c r="J558" s="75" t="s">
        <v>248</v>
      </c>
      <c r="K558" s="77">
        <v>5</v>
      </c>
      <c r="L558" s="78" t="s">
        <v>214</v>
      </c>
      <c r="M558" s="75" t="s">
        <v>765</v>
      </c>
      <c r="N558" s="82">
        <v>3813.6</v>
      </c>
    </row>
    <row r="559" spans="2:14" x14ac:dyDescent="0.25">
      <c r="B559" s="74" t="s">
        <v>827</v>
      </c>
      <c r="C559" s="75">
        <v>38322283</v>
      </c>
      <c r="D559" s="75" t="s">
        <v>254</v>
      </c>
      <c r="E559" s="75">
        <v>27</v>
      </c>
      <c r="F559" s="75" t="s">
        <v>251</v>
      </c>
      <c r="G559" s="75" t="s">
        <v>241</v>
      </c>
      <c r="H559" s="75">
        <v>1</v>
      </c>
      <c r="I559" s="76">
        <v>4533</v>
      </c>
      <c r="J559" s="75" t="s">
        <v>248</v>
      </c>
      <c r="K559" s="77">
        <v>5</v>
      </c>
      <c r="L559" s="78" t="s">
        <v>214</v>
      </c>
      <c r="M559" s="75" t="s">
        <v>765</v>
      </c>
      <c r="N559" s="82">
        <v>1813.2</v>
      </c>
    </row>
    <row r="560" spans="2:14" x14ac:dyDescent="0.25">
      <c r="B560" s="74" t="s">
        <v>828</v>
      </c>
      <c r="C560" s="75">
        <v>39874325</v>
      </c>
      <c r="D560" s="75" t="s">
        <v>239</v>
      </c>
      <c r="E560" s="75">
        <v>56</v>
      </c>
      <c r="F560" s="75" t="s">
        <v>255</v>
      </c>
      <c r="G560" s="75" t="s">
        <v>247</v>
      </c>
      <c r="H560" s="75">
        <v>2</v>
      </c>
      <c r="I560" s="76">
        <v>7479</v>
      </c>
      <c r="J560" s="75" t="s">
        <v>256</v>
      </c>
      <c r="K560" s="77">
        <v>5</v>
      </c>
      <c r="L560" s="78" t="s">
        <v>263</v>
      </c>
      <c r="M560" s="75" t="s">
        <v>765</v>
      </c>
      <c r="N560" s="82">
        <v>2991.6</v>
      </c>
    </row>
    <row r="561" spans="2:14" x14ac:dyDescent="0.25">
      <c r="B561" s="74" t="s">
        <v>829</v>
      </c>
      <c r="C561" s="75">
        <v>59629900</v>
      </c>
      <c r="D561" s="75" t="s">
        <v>254</v>
      </c>
      <c r="E561" s="75">
        <v>38</v>
      </c>
      <c r="F561" s="75" t="s">
        <v>246</v>
      </c>
      <c r="G561" s="75" t="s">
        <v>258</v>
      </c>
      <c r="H561" s="75">
        <v>2</v>
      </c>
      <c r="I561" s="76">
        <v>4197</v>
      </c>
      <c r="J561" s="75" t="s">
        <v>262</v>
      </c>
      <c r="K561" s="77">
        <v>5</v>
      </c>
      <c r="L561" s="78" t="s">
        <v>243</v>
      </c>
      <c r="M561" s="75" t="s">
        <v>765</v>
      </c>
      <c r="N561" s="82">
        <v>1678.8</v>
      </c>
    </row>
    <row r="562" spans="2:14" x14ac:dyDescent="0.25">
      <c r="B562" s="74" t="s">
        <v>830</v>
      </c>
      <c r="C562" s="75">
        <v>52043308</v>
      </c>
      <c r="D562" s="75" t="s">
        <v>239</v>
      </c>
      <c r="E562" s="75">
        <v>32</v>
      </c>
      <c r="F562" s="75" t="s">
        <v>246</v>
      </c>
      <c r="G562" s="75" t="s">
        <v>258</v>
      </c>
      <c r="H562" s="75">
        <v>1</v>
      </c>
      <c r="I562" s="76">
        <v>7908</v>
      </c>
      <c r="J562" s="75" t="s">
        <v>269</v>
      </c>
      <c r="K562" s="77">
        <v>5</v>
      </c>
      <c r="L562" s="78" t="s">
        <v>263</v>
      </c>
      <c r="M562" s="75" t="s">
        <v>765</v>
      </c>
      <c r="N562" s="82">
        <v>3163.2</v>
      </c>
    </row>
    <row r="563" spans="2:14" x14ac:dyDescent="0.25">
      <c r="B563" s="74" t="s">
        <v>831</v>
      </c>
      <c r="C563" s="75">
        <v>61351971</v>
      </c>
      <c r="D563" s="75" t="s">
        <v>239</v>
      </c>
      <c r="E563" s="75">
        <v>41</v>
      </c>
      <c r="F563" s="75" t="s">
        <v>246</v>
      </c>
      <c r="G563" s="75" t="s">
        <v>247</v>
      </c>
      <c r="H563" s="75">
        <v>2</v>
      </c>
      <c r="I563" s="76">
        <v>8561</v>
      </c>
      <c r="J563" s="75" t="s">
        <v>256</v>
      </c>
      <c r="K563" s="77">
        <v>5</v>
      </c>
      <c r="L563" s="78" t="s">
        <v>263</v>
      </c>
      <c r="M563" s="75" t="s">
        <v>765</v>
      </c>
      <c r="N563" s="82">
        <v>3424.4</v>
      </c>
    </row>
    <row r="564" spans="2:14" x14ac:dyDescent="0.25">
      <c r="B564" s="74" t="s">
        <v>832</v>
      </c>
      <c r="C564" s="75">
        <v>58744058</v>
      </c>
      <c r="D564" s="75" t="s">
        <v>254</v>
      </c>
      <c r="E564" s="75">
        <v>41</v>
      </c>
      <c r="F564" s="75" t="s">
        <v>255</v>
      </c>
      <c r="G564" s="75" t="s">
        <v>247</v>
      </c>
      <c r="H564" s="75">
        <v>2</v>
      </c>
      <c r="I564" s="76">
        <v>3585</v>
      </c>
      <c r="J564" s="75" t="s">
        <v>242</v>
      </c>
      <c r="K564" s="77">
        <v>5</v>
      </c>
      <c r="L564" s="78" t="s">
        <v>243</v>
      </c>
      <c r="M564" s="75" t="s">
        <v>765</v>
      </c>
      <c r="N564" s="82">
        <v>1434</v>
      </c>
    </row>
    <row r="565" spans="2:14" x14ac:dyDescent="0.25">
      <c r="B565" s="74" t="s">
        <v>833</v>
      </c>
      <c r="C565" s="75">
        <v>58516179</v>
      </c>
      <c r="D565" s="75" t="s">
        <v>254</v>
      </c>
      <c r="E565" s="75">
        <v>39</v>
      </c>
      <c r="F565" s="75" t="s">
        <v>246</v>
      </c>
      <c r="G565" s="75" t="s">
        <v>258</v>
      </c>
      <c r="H565" s="75">
        <v>1</v>
      </c>
      <c r="I565" s="76">
        <v>8660</v>
      </c>
      <c r="J565" s="75" t="s">
        <v>248</v>
      </c>
      <c r="K565" s="77">
        <v>4</v>
      </c>
      <c r="L565" s="78" t="s">
        <v>279</v>
      </c>
      <c r="M565" s="75" t="s">
        <v>765</v>
      </c>
      <c r="N565" s="82">
        <v>2771.2</v>
      </c>
    </row>
    <row r="566" spans="2:14" x14ac:dyDescent="0.25">
      <c r="B566" s="74" t="s">
        <v>834</v>
      </c>
      <c r="C566" s="75">
        <v>60944517</v>
      </c>
      <c r="D566" s="75" t="s">
        <v>239</v>
      </c>
      <c r="E566" s="75">
        <v>54</v>
      </c>
      <c r="F566" s="75" t="s">
        <v>255</v>
      </c>
      <c r="G566" s="75" t="s">
        <v>247</v>
      </c>
      <c r="H566" s="75">
        <v>1</v>
      </c>
      <c r="I566" s="76">
        <v>2288</v>
      </c>
      <c r="J566" s="75" t="s">
        <v>248</v>
      </c>
      <c r="K566" s="77">
        <v>4</v>
      </c>
      <c r="L566" s="78" t="s">
        <v>210</v>
      </c>
      <c r="M566" s="75" t="s">
        <v>765</v>
      </c>
      <c r="N566" s="82">
        <v>732.16</v>
      </c>
    </row>
    <row r="567" spans="2:14" x14ac:dyDescent="0.25">
      <c r="B567" s="74" t="s">
        <v>835</v>
      </c>
      <c r="C567" s="75">
        <v>34164614</v>
      </c>
      <c r="D567" s="75" t="s">
        <v>254</v>
      </c>
      <c r="E567" s="75">
        <v>23</v>
      </c>
      <c r="F567" s="75" t="s">
        <v>246</v>
      </c>
      <c r="G567" s="75" t="s">
        <v>252</v>
      </c>
      <c r="H567" s="75">
        <v>3</v>
      </c>
      <c r="I567" s="76">
        <v>6185</v>
      </c>
      <c r="J567" s="75" t="s">
        <v>262</v>
      </c>
      <c r="K567" s="77">
        <v>4</v>
      </c>
      <c r="L567" s="78" t="s">
        <v>214</v>
      </c>
      <c r="M567" s="75" t="s">
        <v>765</v>
      </c>
      <c r="N567" s="82">
        <v>1979.2</v>
      </c>
    </row>
    <row r="568" spans="2:14" x14ac:dyDescent="0.25">
      <c r="B568" s="74" t="s">
        <v>836</v>
      </c>
      <c r="C568" s="75">
        <v>39714478</v>
      </c>
      <c r="D568" s="75" t="s">
        <v>254</v>
      </c>
      <c r="E568" s="75">
        <v>37</v>
      </c>
      <c r="F568" s="75" t="s">
        <v>255</v>
      </c>
      <c r="G568" s="75" t="s">
        <v>247</v>
      </c>
      <c r="H568" s="75">
        <v>2</v>
      </c>
      <c r="I568" s="76">
        <v>4584</v>
      </c>
      <c r="J568" s="75" t="s">
        <v>262</v>
      </c>
      <c r="K568" s="77">
        <v>4</v>
      </c>
      <c r="L568" s="78" t="s">
        <v>209</v>
      </c>
      <c r="M568" s="75" t="s">
        <v>765</v>
      </c>
      <c r="N568" s="82">
        <v>1466.88</v>
      </c>
    </row>
    <row r="569" spans="2:14" x14ac:dyDescent="0.25">
      <c r="B569" s="74" t="s">
        <v>837</v>
      </c>
      <c r="C569" s="75">
        <v>52903147</v>
      </c>
      <c r="D569" s="75" t="s">
        <v>239</v>
      </c>
      <c r="E569" s="75">
        <v>58</v>
      </c>
      <c r="F569" s="75" t="s">
        <v>251</v>
      </c>
      <c r="G569" s="75" t="s">
        <v>252</v>
      </c>
      <c r="H569" s="75">
        <v>3</v>
      </c>
      <c r="I569" s="76">
        <v>2234</v>
      </c>
      <c r="J569" s="75" t="s">
        <v>256</v>
      </c>
      <c r="K569" s="77">
        <v>4</v>
      </c>
      <c r="L569" s="78" t="s">
        <v>279</v>
      </c>
      <c r="M569" s="75" t="s">
        <v>765</v>
      </c>
      <c r="N569" s="82">
        <v>714.88</v>
      </c>
    </row>
    <row r="570" spans="2:14" x14ac:dyDescent="0.25">
      <c r="B570" s="74" t="s">
        <v>838</v>
      </c>
      <c r="C570" s="75">
        <v>46720554</v>
      </c>
      <c r="D570" s="75" t="s">
        <v>254</v>
      </c>
      <c r="E570" s="75">
        <v>21</v>
      </c>
      <c r="F570" s="75" t="s">
        <v>251</v>
      </c>
      <c r="G570" s="75" t="s">
        <v>247</v>
      </c>
      <c r="H570" s="75">
        <v>2</v>
      </c>
      <c r="I570" s="76">
        <v>4117</v>
      </c>
      <c r="J570" s="75" t="s">
        <v>256</v>
      </c>
      <c r="K570" s="77">
        <v>4</v>
      </c>
      <c r="L570" s="78" t="s">
        <v>209</v>
      </c>
      <c r="M570" s="75" t="s">
        <v>765</v>
      </c>
      <c r="N570" s="82">
        <v>1317.44</v>
      </c>
    </row>
    <row r="571" spans="2:14" x14ac:dyDescent="0.25">
      <c r="B571" s="74" t="s">
        <v>839</v>
      </c>
      <c r="C571" s="75">
        <v>35031638</v>
      </c>
      <c r="D571" s="75" t="s">
        <v>254</v>
      </c>
      <c r="E571" s="75">
        <v>47</v>
      </c>
      <c r="F571" s="75" t="s">
        <v>246</v>
      </c>
      <c r="G571" s="75" t="s">
        <v>247</v>
      </c>
      <c r="H571" s="75">
        <v>2</v>
      </c>
      <c r="I571" s="76">
        <v>3127</v>
      </c>
      <c r="J571" s="75" t="s">
        <v>269</v>
      </c>
      <c r="K571" s="77">
        <v>4</v>
      </c>
      <c r="L571" s="78" t="s">
        <v>212</v>
      </c>
      <c r="M571" s="75" t="s">
        <v>765</v>
      </c>
      <c r="N571" s="82">
        <v>1000.64</v>
      </c>
    </row>
    <row r="572" spans="2:14" x14ac:dyDescent="0.25">
      <c r="B572" s="74" t="s">
        <v>840</v>
      </c>
      <c r="C572" s="75">
        <v>52393380</v>
      </c>
      <c r="D572" s="75" t="s">
        <v>254</v>
      </c>
      <c r="E572" s="75">
        <v>35</v>
      </c>
      <c r="F572" s="75" t="s">
        <v>255</v>
      </c>
      <c r="G572" s="75" t="s">
        <v>258</v>
      </c>
      <c r="H572" s="75">
        <v>2</v>
      </c>
      <c r="I572" s="76">
        <v>8274</v>
      </c>
      <c r="J572" s="75" t="s">
        <v>242</v>
      </c>
      <c r="K572" s="77">
        <v>4</v>
      </c>
      <c r="L572" s="78" t="s">
        <v>212</v>
      </c>
      <c r="M572" s="75" t="s">
        <v>765</v>
      </c>
      <c r="N572" s="82">
        <v>2647.68</v>
      </c>
    </row>
    <row r="573" spans="2:14" x14ac:dyDescent="0.25">
      <c r="B573" s="74" t="s">
        <v>841</v>
      </c>
      <c r="C573" s="75">
        <v>58343072</v>
      </c>
      <c r="D573" s="75" t="s">
        <v>254</v>
      </c>
      <c r="E573" s="75">
        <v>39</v>
      </c>
      <c r="F573" s="75" t="s">
        <v>251</v>
      </c>
      <c r="G573" s="75" t="s">
        <v>247</v>
      </c>
      <c r="H573" s="75">
        <v>3</v>
      </c>
      <c r="I573" s="76">
        <v>2406</v>
      </c>
      <c r="J573" s="75" t="s">
        <v>269</v>
      </c>
      <c r="K573" s="77">
        <v>4</v>
      </c>
      <c r="L573" s="78" t="s">
        <v>193</v>
      </c>
      <c r="M573" s="75" t="s">
        <v>765</v>
      </c>
      <c r="N573" s="82">
        <v>769.92</v>
      </c>
    </row>
    <row r="574" spans="2:14" x14ac:dyDescent="0.25">
      <c r="B574" s="74" t="s">
        <v>842</v>
      </c>
      <c r="C574" s="75">
        <v>38541294</v>
      </c>
      <c r="D574" s="75" t="s">
        <v>254</v>
      </c>
      <c r="E574" s="75">
        <v>41</v>
      </c>
      <c r="F574" s="75" t="s">
        <v>255</v>
      </c>
      <c r="G574" s="75" t="s">
        <v>252</v>
      </c>
      <c r="H574" s="75">
        <v>4</v>
      </c>
      <c r="I574" s="76">
        <v>6546</v>
      </c>
      <c r="J574" s="75" t="s">
        <v>256</v>
      </c>
      <c r="K574" s="77">
        <v>4</v>
      </c>
      <c r="L574" s="78" t="s">
        <v>209</v>
      </c>
      <c r="M574" s="75" t="s">
        <v>765</v>
      </c>
      <c r="N574" s="82">
        <v>2094.7199999999998</v>
      </c>
    </row>
    <row r="575" spans="2:14" x14ac:dyDescent="0.25">
      <c r="B575" s="74" t="s">
        <v>843</v>
      </c>
      <c r="C575" s="75">
        <v>27298539</v>
      </c>
      <c r="D575" s="75" t="s">
        <v>254</v>
      </c>
      <c r="E575" s="75">
        <v>36</v>
      </c>
      <c r="F575" s="75" t="s">
        <v>251</v>
      </c>
      <c r="G575" s="75" t="s">
        <v>252</v>
      </c>
      <c r="H575" s="75">
        <v>1</v>
      </c>
      <c r="I575" s="76">
        <v>6808</v>
      </c>
      <c r="J575" s="75" t="s">
        <v>262</v>
      </c>
      <c r="K575" s="77">
        <v>4</v>
      </c>
      <c r="L575" s="78" t="s">
        <v>279</v>
      </c>
      <c r="M575" s="75" t="s">
        <v>765</v>
      </c>
      <c r="N575" s="82">
        <v>2178.56</v>
      </c>
    </row>
    <row r="576" spans="2:14" x14ac:dyDescent="0.25">
      <c r="B576" s="74" t="s">
        <v>844</v>
      </c>
      <c r="C576" s="75">
        <v>42525506</v>
      </c>
      <c r="D576" s="75" t="s">
        <v>254</v>
      </c>
      <c r="E576" s="75">
        <v>36</v>
      </c>
      <c r="F576" s="75" t="s">
        <v>251</v>
      </c>
      <c r="G576" s="75" t="s">
        <v>247</v>
      </c>
      <c r="H576" s="75">
        <v>4</v>
      </c>
      <c r="I576" s="76">
        <v>8452</v>
      </c>
      <c r="J576" s="75" t="s">
        <v>269</v>
      </c>
      <c r="K576" s="77">
        <v>4</v>
      </c>
      <c r="L576" s="78" t="s">
        <v>271</v>
      </c>
      <c r="M576" s="75" t="s">
        <v>765</v>
      </c>
      <c r="N576" s="82">
        <v>2704.64</v>
      </c>
    </row>
    <row r="577" spans="2:14" x14ac:dyDescent="0.25">
      <c r="B577" s="74" t="s">
        <v>845</v>
      </c>
      <c r="C577" s="75">
        <v>44186188</v>
      </c>
      <c r="D577" s="75" t="s">
        <v>254</v>
      </c>
      <c r="E577" s="75">
        <v>63</v>
      </c>
      <c r="F577" s="75" t="s">
        <v>240</v>
      </c>
      <c r="G577" s="75" t="s">
        <v>247</v>
      </c>
      <c r="H577" s="75">
        <v>2</v>
      </c>
      <c r="I577" s="76">
        <v>2708</v>
      </c>
      <c r="J577" s="75" t="s">
        <v>242</v>
      </c>
      <c r="K577" s="77">
        <v>4</v>
      </c>
      <c r="L577" s="78" t="s">
        <v>271</v>
      </c>
      <c r="M577" s="75" t="s">
        <v>765</v>
      </c>
      <c r="N577" s="82">
        <v>866.56</v>
      </c>
    </row>
    <row r="578" spans="2:14" x14ac:dyDescent="0.25">
      <c r="B578" s="74" t="s">
        <v>846</v>
      </c>
      <c r="C578" s="75">
        <v>48831027</v>
      </c>
      <c r="D578" s="75" t="s">
        <v>254</v>
      </c>
      <c r="E578" s="75">
        <v>24</v>
      </c>
      <c r="F578" s="75" t="s">
        <v>240</v>
      </c>
      <c r="G578" s="75" t="s">
        <v>247</v>
      </c>
      <c r="H578" s="75">
        <v>2</v>
      </c>
      <c r="I578" s="76">
        <v>6985</v>
      </c>
      <c r="J578" s="75" t="s">
        <v>242</v>
      </c>
      <c r="K578" s="77">
        <v>4</v>
      </c>
      <c r="L578" s="78" t="s">
        <v>193</v>
      </c>
      <c r="M578" s="75" t="s">
        <v>765</v>
      </c>
      <c r="N578" s="82">
        <v>2235.1999999999998</v>
      </c>
    </row>
    <row r="579" spans="2:14" x14ac:dyDescent="0.25">
      <c r="B579" s="74" t="s">
        <v>847</v>
      </c>
      <c r="C579" s="75">
        <v>52235126</v>
      </c>
      <c r="D579" s="75" t="s">
        <v>254</v>
      </c>
      <c r="E579" s="75">
        <v>41</v>
      </c>
      <c r="F579" s="75" t="s">
        <v>240</v>
      </c>
      <c r="G579" s="75" t="s">
        <v>258</v>
      </c>
      <c r="H579" s="75">
        <v>1</v>
      </c>
      <c r="I579" s="76">
        <v>7555</v>
      </c>
      <c r="J579" s="75" t="s">
        <v>248</v>
      </c>
      <c r="K579" s="77">
        <v>3</v>
      </c>
      <c r="L579" s="78" t="s">
        <v>210</v>
      </c>
      <c r="M579" s="75" t="s">
        <v>765</v>
      </c>
      <c r="N579" s="82">
        <v>1813.2</v>
      </c>
    </row>
    <row r="580" spans="2:14" x14ac:dyDescent="0.25">
      <c r="B580" s="74" t="s">
        <v>848</v>
      </c>
      <c r="C580" s="75">
        <v>26949570</v>
      </c>
      <c r="D580" s="75" t="s">
        <v>239</v>
      </c>
      <c r="E580" s="75">
        <v>49</v>
      </c>
      <c r="F580" s="75" t="s">
        <v>251</v>
      </c>
      <c r="G580" s="75" t="s">
        <v>258</v>
      </c>
      <c r="H580" s="75">
        <v>3</v>
      </c>
      <c r="I580" s="76">
        <v>5386</v>
      </c>
      <c r="J580" s="75" t="s">
        <v>242</v>
      </c>
      <c r="K580" s="77">
        <v>3</v>
      </c>
      <c r="L580" s="78" t="s">
        <v>203</v>
      </c>
      <c r="M580" s="75" t="s">
        <v>765</v>
      </c>
      <c r="N580" s="82">
        <v>1292.6400000000001</v>
      </c>
    </row>
    <row r="581" spans="2:14" x14ac:dyDescent="0.25">
      <c r="B581" s="74" t="s">
        <v>849</v>
      </c>
      <c r="C581" s="75">
        <v>26143447</v>
      </c>
      <c r="D581" s="75" t="s">
        <v>239</v>
      </c>
      <c r="E581" s="75">
        <v>53</v>
      </c>
      <c r="F581" s="75" t="s">
        <v>246</v>
      </c>
      <c r="G581" s="75" t="s">
        <v>247</v>
      </c>
      <c r="H581" s="75">
        <v>4</v>
      </c>
      <c r="I581" s="76">
        <v>3929</v>
      </c>
      <c r="J581" s="75" t="s">
        <v>248</v>
      </c>
      <c r="K581" s="77">
        <v>3</v>
      </c>
      <c r="L581" s="78" t="s">
        <v>209</v>
      </c>
      <c r="M581" s="75" t="s">
        <v>765</v>
      </c>
      <c r="N581" s="82">
        <v>942.96</v>
      </c>
    </row>
    <row r="582" spans="2:14" x14ac:dyDescent="0.25">
      <c r="B582" s="74" t="s">
        <v>850</v>
      </c>
      <c r="C582" s="75">
        <v>56429992</v>
      </c>
      <c r="D582" s="75" t="s">
        <v>239</v>
      </c>
      <c r="E582" s="75">
        <v>38</v>
      </c>
      <c r="F582" s="75" t="s">
        <v>251</v>
      </c>
      <c r="G582" s="75" t="s">
        <v>241</v>
      </c>
      <c r="H582" s="75">
        <v>2</v>
      </c>
      <c r="I582" s="76">
        <v>3992</v>
      </c>
      <c r="J582" s="75" t="s">
        <v>248</v>
      </c>
      <c r="K582" s="77">
        <v>3</v>
      </c>
      <c r="L582" s="78" t="s">
        <v>213</v>
      </c>
      <c r="M582" s="75" t="s">
        <v>765</v>
      </c>
      <c r="N582" s="82">
        <v>958.08</v>
      </c>
    </row>
    <row r="583" spans="2:14" x14ac:dyDescent="0.25">
      <c r="B583" s="74" t="s">
        <v>851</v>
      </c>
      <c r="C583" s="75">
        <v>62451881</v>
      </c>
      <c r="D583" s="75" t="s">
        <v>239</v>
      </c>
      <c r="E583" s="75">
        <v>65</v>
      </c>
      <c r="F583" s="75" t="s">
        <v>246</v>
      </c>
      <c r="G583" s="75" t="s">
        <v>247</v>
      </c>
      <c r="H583" s="75">
        <v>1</v>
      </c>
      <c r="I583" s="76">
        <v>7226</v>
      </c>
      <c r="J583" s="75" t="s">
        <v>262</v>
      </c>
      <c r="K583" s="77">
        <v>3</v>
      </c>
      <c r="L583" s="78" t="s">
        <v>193</v>
      </c>
      <c r="M583" s="75" t="s">
        <v>765</v>
      </c>
      <c r="N583" s="82">
        <v>1734.24</v>
      </c>
    </row>
    <row r="584" spans="2:14" x14ac:dyDescent="0.25">
      <c r="B584" s="74" t="s">
        <v>852</v>
      </c>
      <c r="C584" s="75">
        <v>37884900</v>
      </c>
      <c r="D584" s="75" t="s">
        <v>254</v>
      </c>
      <c r="E584" s="75">
        <v>50</v>
      </c>
      <c r="F584" s="75" t="s">
        <v>240</v>
      </c>
      <c r="G584" s="75" t="s">
        <v>247</v>
      </c>
      <c r="H584" s="75">
        <v>3</v>
      </c>
      <c r="I584" s="76">
        <v>5840</v>
      </c>
      <c r="J584" s="75" t="s">
        <v>248</v>
      </c>
      <c r="K584" s="77">
        <v>3</v>
      </c>
      <c r="L584" s="78" t="s">
        <v>213</v>
      </c>
      <c r="M584" s="75" t="s">
        <v>765</v>
      </c>
      <c r="N584" s="82">
        <v>1401.6</v>
      </c>
    </row>
    <row r="585" spans="2:14" x14ac:dyDescent="0.25">
      <c r="B585" s="74" t="s">
        <v>853</v>
      </c>
      <c r="C585" s="75">
        <v>63646727</v>
      </c>
      <c r="D585" s="75" t="s">
        <v>239</v>
      </c>
      <c r="E585" s="75">
        <v>47</v>
      </c>
      <c r="F585" s="75" t="s">
        <v>246</v>
      </c>
      <c r="G585" s="75" t="s">
        <v>258</v>
      </c>
      <c r="H585" s="75">
        <v>4</v>
      </c>
      <c r="I585" s="76">
        <v>6936</v>
      </c>
      <c r="J585" s="75" t="s">
        <v>256</v>
      </c>
      <c r="K585" s="77">
        <v>3</v>
      </c>
      <c r="L585" s="78" t="s">
        <v>212</v>
      </c>
      <c r="M585" s="75" t="s">
        <v>765</v>
      </c>
      <c r="N585" s="82">
        <v>1664.64</v>
      </c>
    </row>
    <row r="586" spans="2:14" x14ac:dyDescent="0.25">
      <c r="B586" s="74" t="s">
        <v>854</v>
      </c>
      <c r="C586" s="75">
        <v>38144347</v>
      </c>
      <c r="D586" s="75" t="s">
        <v>239</v>
      </c>
      <c r="E586" s="75">
        <v>28</v>
      </c>
      <c r="F586" s="75" t="s">
        <v>255</v>
      </c>
      <c r="G586" s="75" t="s">
        <v>258</v>
      </c>
      <c r="H586" s="75">
        <v>4</v>
      </c>
      <c r="I586" s="76">
        <v>4353</v>
      </c>
      <c r="J586" s="75" t="s">
        <v>242</v>
      </c>
      <c r="K586" s="77">
        <v>3</v>
      </c>
      <c r="L586" s="78" t="s">
        <v>214</v>
      </c>
      <c r="M586" s="75" t="s">
        <v>765</v>
      </c>
      <c r="N586" s="82">
        <v>1044.72</v>
      </c>
    </row>
    <row r="587" spans="2:14" x14ac:dyDescent="0.25">
      <c r="B587" s="74" t="s">
        <v>855</v>
      </c>
      <c r="C587" s="75">
        <v>68358961</v>
      </c>
      <c r="D587" s="75" t="s">
        <v>239</v>
      </c>
      <c r="E587" s="75">
        <v>47</v>
      </c>
      <c r="F587" s="75" t="s">
        <v>246</v>
      </c>
      <c r="G587" s="75" t="s">
        <v>252</v>
      </c>
      <c r="H587" s="75">
        <v>2</v>
      </c>
      <c r="I587" s="76">
        <v>2963</v>
      </c>
      <c r="J587" s="75" t="s">
        <v>262</v>
      </c>
      <c r="K587" s="77">
        <v>3</v>
      </c>
      <c r="L587" s="78" t="s">
        <v>243</v>
      </c>
      <c r="M587" s="75" t="s">
        <v>765</v>
      </c>
      <c r="N587" s="82">
        <v>711.12</v>
      </c>
    </row>
    <row r="588" spans="2:14" x14ac:dyDescent="0.25">
      <c r="B588" s="74" t="s">
        <v>856</v>
      </c>
      <c r="C588" s="75">
        <v>59465836</v>
      </c>
      <c r="D588" s="75" t="s">
        <v>239</v>
      </c>
      <c r="E588" s="75">
        <v>64</v>
      </c>
      <c r="F588" s="75" t="s">
        <v>246</v>
      </c>
      <c r="G588" s="75" t="s">
        <v>241</v>
      </c>
      <c r="H588" s="75">
        <v>1</v>
      </c>
      <c r="I588" s="76">
        <v>8354</v>
      </c>
      <c r="J588" s="75" t="s">
        <v>242</v>
      </c>
      <c r="K588" s="77">
        <v>3</v>
      </c>
      <c r="L588" s="78" t="s">
        <v>212</v>
      </c>
      <c r="M588" s="75" t="s">
        <v>765</v>
      </c>
      <c r="N588" s="82">
        <v>2004.96</v>
      </c>
    </row>
    <row r="589" spans="2:14" x14ac:dyDescent="0.25">
      <c r="B589" s="74" t="s">
        <v>857</v>
      </c>
      <c r="C589" s="75">
        <v>34698257</v>
      </c>
      <c r="D589" s="75" t="s">
        <v>254</v>
      </c>
      <c r="E589" s="75">
        <v>25</v>
      </c>
      <c r="F589" s="75" t="s">
        <v>240</v>
      </c>
      <c r="G589" s="75" t="s">
        <v>258</v>
      </c>
      <c r="H589" s="75">
        <v>2</v>
      </c>
      <c r="I589" s="76">
        <v>7284</v>
      </c>
      <c r="J589" s="75" t="s">
        <v>248</v>
      </c>
      <c r="K589" s="77">
        <v>3</v>
      </c>
      <c r="L589" s="78" t="s">
        <v>212</v>
      </c>
      <c r="M589" s="75" t="s">
        <v>765</v>
      </c>
      <c r="N589" s="82">
        <v>1748.16</v>
      </c>
    </row>
    <row r="590" spans="2:14" x14ac:dyDescent="0.25">
      <c r="B590" s="74" t="s">
        <v>858</v>
      </c>
      <c r="C590" s="75">
        <v>47859596</v>
      </c>
      <c r="D590" s="75" t="s">
        <v>239</v>
      </c>
      <c r="E590" s="75">
        <v>59</v>
      </c>
      <c r="F590" s="75" t="s">
        <v>246</v>
      </c>
      <c r="G590" s="75" t="s">
        <v>258</v>
      </c>
      <c r="H590" s="75">
        <v>2</v>
      </c>
      <c r="I590" s="76">
        <v>4517</v>
      </c>
      <c r="J590" s="75" t="s">
        <v>242</v>
      </c>
      <c r="K590" s="77">
        <v>3</v>
      </c>
      <c r="L590" s="78" t="s">
        <v>212</v>
      </c>
      <c r="M590" s="75" t="s">
        <v>765</v>
      </c>
      <c r="N590" s="82">
        <v>1084.08</v>
      </c>
    </row>
    <row r="591" spans="2:14" x14ac:dyDescent="0.25">
      <c r="B591" s="74" t="s">
        <v>859</v>
      </c>
      <c r="C591" s="75">
        <v>61225510</v>
      </c>
      <c r="D591" s="75" t="s">
        <v>254</v>
      </c>
      <c r="E591" s="75">
        <v>40</v>
      </c>
      <c r="F591" s="75" t="s">
        <v>251</v>
      </c>
      <c r="G591" s="75" t="s">
        <v>258</v>
      </c>
      <c r="H591" s="75">
        <v>0</v>
      </c>
      <c r="I591" s="76">
        <v>9191</v>
      </c>
      <c r="J591" s="75" t="s">
        <v>256</v>
      </c>
      <c r="K591" s="77">
        <v>3</v>
      </c>
      <c r="L591" s="78" t="s">
        <v>243</v>
      </c>
      <c r="M591" s="75" t="s">
        <v>765</v>
      </c>
      <c r="N591" s="82">
        <v>2205.84</v>
      </c>
    </row>
    <row r="592" spans="2:14" x14ac:dyDescent="0.25">
      <c r="B592" s="74" t="s">
        <v>860</v>
      </c>
      <c r="C592" s="75">
        <v>57834566</v>
      </c>
      <c r="D592" s="75" t="s">
        <v>239</v>
      </c>
      <c r="E592" s="75">
        <v>26</v>
      </c>
      <c r="F592" s="75" t="s">
        <v>251</v>
      </c>
      <c r="G592" s="75" t="s">
        <v>258</v>
      </c>
      <c r="H592" s="75">
        <v>2</v>
      </c>
      <c r="I592" s="76">
        <v>6009</v>
      </c>
      <c r="J592" s="75" t="s">
        <v>256</v>
      </c>
      <c r="K592" s="77">
        <v>2</v>
      </c>
      <c r="L592" s="78" t="s">
        <v>212</v>
      </c>
      <c r="M592" s="75" t="s">
        <v>765</v>
      </c>
      <c r="N592" s="82">
        <v>961.44</v>
      </c>
    </row>
    <row r="593" spans="2:14" x14ac:dyDescent="0.25">
      <c r="B593" s="74" t="s">
        <v>861</v>
      </c>
      <c r="C593" s="75">
        <v>32465520</v>
      </c>
      <c r="D593" s="75" t="s">
        <v>254</v>
      </c>
      <c r="E593" s="75">
        <v>24</v>
      </c>
      <c r="F593" s="75" t="s">
        <v>240</v>
      </c>
      <c r="G593" s="75" t="s">
        <v>252</v>
      </c>
      <c r="H593" s="75">
        <v>1</v>
      </c>
      <c r="I593" s="76">
        <v>2523</v>
      </c>
      <c r="J593" s="75" t="s">
        <v>242</v>
      </c>
      <c r="K593" s="77">
        <v>2</v>
      </c>
      <c r="L593" s="78" t="s">
        <v>209</v>
      </c>
      <c r="M593" s="75" t="s">
        <v>765</v>
      </c>
      <c r="N593" s="82">
        <v>403.68</v>
      </c>
    </row>
    <row r="594" spans="2:14" x14ac:dyDescent="0.25">
      <c r="B594" s="74" t="s">
        <v>862</v>
      </c>
      <c r="C594" s="75">
        <v>70325936</v>
      </c>
      <c r="D594" s="75" t="s">
        <v>254</v>
      </c>
      <c r="E594" s="75">
        <v>21</v>
      </c>
      <c r="F594" s="75" t="s">
        <v>251</v>
      </c>
      <c r="G594" s="75" t="s">
        <v>247</v>
      </c>
      <c r="H594" s="75">
        <v>4</v>
      </c>
      <c r="I594" s="76">
        <v>8028</v>
      </c>
      <c r="J594" s="75" t="s">
        <v>269</v>
      </c>
      <c r="K594" s="77">
        <v>2</v>
      </c>
      <c r="L594" s="78" t="s">
        <v>210</v>
      </c>
      <c r="M594" s="75" t="s">
        <v>765</v>
      </c>
      <c r="N594" s="82">
        <v>1284.48</v>
      </c>
    </row>
    <row r="595" spans="2:14" x14ac:dyDescent="0.25">
      <c r="B595" s="74" t="s">
        <v>863</v>
      </c>
      <c r="C595" s="75">
        <v>27995946</v>
      </c>
      <c r="D595" s="75" t="s">
        <v>239</v>
      </c>
      <c r="E595" s="75">
        <v>29</v>
      </c>
      <c r="F595" s="75" t="s">
        <v>240</v>
      </c>
      <c r="G595" s="75" t="s">
        <v>258</v>
      </c>
      <c r="H595" s="75">
        <v>1</v>
      </c>
      <c r="I595" s="76">
        <v>3723</v>
      </c>
      <c r="J595" s="75" t="s">
        <v>242</v>
      </c>
      <c r="K595" s="77">
        <v>2</v>
      </c>
      <c r="L595" s="78" t="s">
        <v>271</v>
      </c>
      <c r="M595" s="75" t="s">
        <v>765</v>
      </c>
      <c r="N595" s="82">
        <v>595.67999999999995</v>
      </c>
    </row>
    <row r="596" spans="2:14" x14ac:dyDescent="0.25">
      <c r="B596" s="74" t="s">
        <v>864</v>
      </c>
      <c r="C596" s="75">
        <v>39626227</v>
      </c>
      <c r="D596" s="75" t="s">
        <v>254</v>
      </c>
      <c r="E596" s="75">
        <v>53</v>
      </c>
      <c r="F596" s="75" t="s">
        <v>251</v>
      </c>
      <c r="G596" s="75" t="s">
        <v>241</v>
      </c>
      <c r="H596" s="75">
        <v>1</v>
      </c>
      <c r="I596" s="76">
        <v>6563</v>
      </c>
      <c r="J596" s="75" t="s">
        <v>242</v>
      </c>
      <c r="K596" s="77">
        <v>2</v>
      </c>
      <c r="L596" s="78" t="s">
        <v>209</v>
      </c>
      <c r="M596" s="75" t="s">
        <v>765</v>
      </c>
      <c r="N596" s="82">
        <v>1050.08</v>
      </c>
    </row>
    <row r="597" spans="2:14" x14ac:dyDescent="0.25">
      <c r="B597" s="74" t="s">
        <v>865</v>
      </c>
      <c r="C597" s="75">
        <v>32790862</v>
      </c>
      <c r="D597" s="75" t="s">
        <v>254</v>
      </c>
      <c r="E597" s="75">
        <v>39</v>
      </c>
      <c r="F597" s="75" t="s">
        <v>240</v>
      </c>
      <c r="G597" s="75" t="s">
        <v>258</v>
      </c>
      <c r="H597" s="75">
        <v>2</v>
      </c>
      <c r="I597" s="76">
        <v>8083</v>
      </c>
      <c r="J597" s="75" t="s">
        <v>256</v>
      </c>
      <c r="K597" s="77">
        <v>2</v>
      </c>
      <c r="L597" s="78" t="s">
        <v>271</v>
      </c>
      <c r="M597" s="75" t="s">
        <v>765</v>
      </c>
      <c r="N597" s="82">
        <v>1293.28</v>
      </c>
    </row>
    <row r="598" spans="2:14" x14ac:dyDescent="0.25">
      <c r="B598" s="74" t="s">
        <v>866</v>
      </c>
      <c r="C598" s="75">
        <v>32072323</v>
      </c>
      <c r="D598" s="75" t="s">
        <v>254</v>
      </c>
      <c r="E598" s="75">
        <v>62</v>
      </c>
      <c r="F598" s="75" t="s">
        <v>246</v>
      </c>
      <c r="G598" s="75" t="s">
        <v>252</v>
      </c>
      <c r="H598" s="75">
        <v>2</v>
      </c>
      <c r="I598" s="76">
        <v>9004</v>
      </c>
      <c r="J598" s="75" t="s">
        <v>269</v>
      </c>
      <c r="K598" s="77">
        <v>2</v>
      </c>
      <c r="L598" s="78" t="s">
        <v>279</v>
      </c>
      <c r="M598" s="75" t="s">
        <v>765</v>
      </c>
      <c r="N598" s="82">
        <v>1440.64</v>
      </c>
    </row>
    <row r="599" spans="2:14" x14ac:dyDescent="0.25">
      <c r="B599" s="74" t="s">
        <v>867</v>
      </c>
      <c r="C599" s="75">
        <v>37035342</v>
      </c>
      <c r="D599" s="75" t="s">
        <v>239</v>
      </c>
      <c r="E599" s="75">
        <v>55</v>
      </c>
      <c r="F599" s="75" t="s">
        <v>240</v>
      </c>
      <c r="G599" s="75" t="s">
        <v>241</v>
      </c>
      <c r="H599" s="75">
        <v>1</v>
      </c>
      <c r="I599" s="76">
        <v>5406</v>
      </c>
      <c r="J599" s="75" t="s">
        <v>248</v>
      </c>
      <c r="K599" s="77">
        <v>2</v>
      </c>
      <c r="L599" s="78" t="s">
        <v>263</v>
      </c>
      <c r="M599" s="75" t="s">
        <v>765</v>
      </c>
      <c r="N599" s="82">
        <v>864.96</v>
      </c>
    </row>
    <row r="600" spans="2:14" x14ac:dyDescent="0.25">
      <c r="B600" s="74" t="s">
        <v>868</v>
      </c>
      <c r="C600" s="75">
        <v>36896338</v>
      </c>
      <c r="D600" s="75" t="s">
        <v>239</v>
      </c>
      <c r="E600" s="75">
        <v>30</v>
      </c>
      <c r="F600" s="75" t="s">
        <v>246</v>
      </c>
      <c r="G600" s="75" t="s">
        <v>247</v>
      </c>
      <c r="H600" s="75">
        <v>2</v>
      </c>
      <c r="I600" s="76">
        <v>5852</v>
      </c>
      <c r="J600" s="75" t="s">
        <v>256</v>
      </c>
      <c r="K600" s="77">
        <v>2</v>
      </c>
      <c r="L600" s="78" t="s">
        <v>215</v>
      </c>
      <c r="M600" s="75" t="s">
        <v>765</v>
      </c>
      <c r="N600" s="82">
        <v>936.32</v>
      </c>
    </row>
    <row r="601" spans="2:14" x14ac:dyDescent="0.25">
      <c r="B601" s="74" t="s">
        <v>869</v>
      </c>
      <c r="C601" s="75">
        <v>65331302</v>
      </c>
      <c r="D601" s="75" t="s">
        <v>239</v>
      </c>
      <c r="E601" s="75">
        <v>47</v>
      </c>
      <c r="F601" s="75" t="s">
        <v>255</v>
      </c>
      <c r="G601" s="75" t="s">
        <v>247</v>
      </c>
      <c r="H601" s="75">
        <v>4</v>
      </c>
      <c r="I601" s="76">
        <v>4602</v>
      </c>
      <c r="J601" s="75" t="s">
        <v>269</v>
      </c>
      <c r="K601" s="77">
        <v>2</v>
      </c>
      <c r="L601" s="78" t="s">
        <v>263</v>
      </c>
      <c r="M601" s="75" t="s">
        <v>765</v>
      </c>
      <c r="N601" s="82">
        <v>736.32</v>
      </c>
    </row>
    <row r="602" spans="2:14" x14ac:dyDescent="0.25">
      <c r="B602" s="74" t="s">
        <v>870</v>
      </c>
      <c r="C602" s="75">
        <v>65623662</v>
      </c>
      <c r="D602" s="75" t="s">
        <v>254</v>
      </c>
      <c r="E602" s="75">
        <v>38</v>
      </c>
      <c r="F602" s="75" t="s">
        <v>251</v>
      </c>
      <c r="G602" s="75" t="s">
        <v>258</v>
      </c>
      <c r="H602" s="75">
        <v>4</v>
      </c>
      <c r="I602" s="76">
        <v>9689</v>
      </c>
      <c r="J602" s="75" t="s">
        <v>269</v>
      </c>
      <c r="K602" s="77">
        <v>2</v>
      </c>
      <c r="L602" s="78" t="s">
        <v>279</v>
      </c>
      <c r="M602" s="75" t="s">
        <v>765</v>
      </c>
      <c r="N602" s="82">
        <v>1550.24</v>
      </c>
    </row>
    <row r="603" spans="2:14" x14ac:dyDescent="0.25">
      <c r="B603" s="74" t="s">
        <v>871</v>
      </c>
      <c r="C603" s="75">
        <v>67128624</v>
      </c>
      <c r="D603" s="75" t="s">
        <v>239</v>
      </c>
      <c r="E603" s="75">
        <v>40</v>
      </c>
      <c r="F603" s="75" t="s">
        <v>240</v>
      </c>
      <c r="G603" s="75" t="s">
        <v>252</v>
      </c>
      <c r="H603" s="75">
        <v>1</v>
      </c>
      <c r="I603" s="76">
        <v>8212</v>
      </c>
      <c r="J603" s="75" t="s">
        <v>262</v>
      </c>
      <c r="K603" s="77">
        <v>2</v>
      </c>
      <c r="L603" s="78" t="s">
        <v>263</v>
      </c>
      <c r="M603" s="75" t="s">
        <v>765</v>
      </c>
      <c r="N603" s="82">
        <v>1313.92</v>
      </c>
    </row>
    <row r="604" spans="2:14" x14ac:dyDescent="0.25">
      <c r="B604" s="74" t="s">
        <v>872</v>
      </c>
      <c r="C604" s="75">
        <v>68460225</v>
      </c>
      <c r="D604" s="75" t="s">
        <v>239</v>
      </c>
      <c r="E604" s="75">
        <v>65</v>
      </c>
      <c r="F604" s="75" t="s">
        <v>246</v>
      </c>
      <c r="G604" s="75" t="s">
        <v>247</v>
      </c>
      <c r="H604" s="75">
        <v>2</v>
      </c>
      <c r="I604" s="76">
        <v>8521</v>
      </c>
      <c r="J604" s="75" t="s">
        <v>262</v>
      </c>
      <c r="K604" s="77">
        <v>2</v>
      </c>
      <c r="L604" s="78" t="s">
        <v>209</v>
      </c>
      <c r="M604" s="75" t="s">
        <v>765</v>
      </c>
      <c r="N604" s="82">
        <v>1363.36</v>
      </c>
    </row>
    <row r="605" spans="2:14" x14ac:dyDescent="0.25">
      <c r="B605" s="74" t="s">
        <v>873</v>
      </c>
      <c r="C605" s="75">
        <v>52858896</v>
      </c>
      <c r="D605" s="75" t="s">
        <v>239</v>
      </c>
      <c r="E605" s="75">
        <v>21</v>
      </c>
      <c r="F605" s="75" t="s">
        <v>255</v>
      </c>
      <c r="G605" s="75" t="s">
        <v>258</v>
      </c>
      <c r="H605" s="75">
        <v>2</v>
      </c>
      <c r="I605" s="76">
        <v>5267</v>
      </c>
      <c r="J605" s="75" t="s">
        <v>269</v>
      </c>
      <c r="K605" s="77">
        <v>2</v>
      </c>
      <c r="L605" s="78" t="s">
        <v>271</v>
      </c>
      <c r="M605" s="75" t="s">
        <v>765</v>
      </c>
      <c r="N605" s="82">
        <v>842.72</v>
      </c>
    </row>
    <row r="606" spans="2:14" x14ac:dyDescent="0.25">
      <c r="B606" s="74" t="s">
        <v>874</v>
      </c>
      <c r="C606" s="75">
        <v>38986545</v>
      </c>
      <c r="D606" s="75" t="s">
        <v>254</v>
      </c>
      <c r="E606" s="75">
        <v>63</v>
      </c>
      <c r="F606" s="75" t="s">
        <v>251</v>
      </c>
      <c r="G606" s="75" t="s">
        <v>252</v>
      </c>
      <c r="H606" s="75">
        <v>2</v>
      </c>
      <c r="I606" s="76">
        <v>4347</v>
      </c>
      <c r="J606" s="75" t="s">
        <v>256</v>
      </c>
      <c r="K606" s="77">
        <v>1</v>
      </c>
      <c r="L606" s="78" t="s">
        <v>203</v>
      </c>
      <c r="M606" s="75" t="s">
        <v>765</v>
      </c>
      <c r="N606" s="82">
        <v>347.76</v>
      </c>
    </row>
    <row r="607" spans="2:14" x14ac:dyDescent="0.25">
      <c r="B607" s="74" t="s">
        <v>875</v>
      </c>
      <c r="C607" s="75">
        <v>30938745</v>
      </c>
      <c r="D607" s="75" t="s">
        <v>239</v>
      </c>
      <c r="E607" s="75">
        <v>33</v>
      </c>
      <c r="F607" s="75" t="s">
        <v>246</v>
      </c>
      <c r="G607" s="75" t="s">
        <v>252</v>
      </c>
      <c r="H607" s="75">
        <v>2</v>
      </c>
      <c r="I607" s="76">
        <v>9381</v>
      </c>
      <c r="J607" s="75" t="s">
        <v>256</v>
      </c>
      <c r="K607" s="77">
        <v>1</v>
      </c>
      <c r="L607" s="78" t="s">
        <v>271</v>
      </c>
      <c r="M607" s="75" t="s">
        <v>765</v>
      </c>
      <c r="N607" s="82">
        <v>750.48</v>
      </c>
    </row>
    <row r="608" spans="2:14" x14ac:dyDescent="0.25">
      <c r="B608" s="74" t="s">
        <v>876</v>
      </c>
      <c r="C608" s="75">
        <v>60645150</v>
      </c>
      <c r="D608" s="75" t="s">
        <v>239</v>
      </c>
      <c r="E608" s="75">
        <v>50</v>
      </c>
      <c r="F608" s="75" t="s">
        <v>255</v>
      </c>
      <c r="G608" s="75" t="s">
        <v>247</v>
      </c>
      <c r="H608" s="75">
        <v>1</v>
      </c>
      <c r="I608" s="76">
        <v>2414</v>
      </c>
      <c r="J608" s="75" t="s">
        <v>269</v>
      </c>
      <c r="K608" s="77">
        <v>1</v>
      </c>
      <c r="L608" s="78" t="s">
        <v>209</v>
      </c>
      <c r="M608" s="75" t="s">
        <v>765</v>
      </c>
      <c r="N608" s="82">
        <v>193.12</v>
      </c>
    </row>
    <row r="609" spans="2:14" x14ac:dyDescent="0.25">
      <c r="B609" s="74" t="s">
        <v>877</v>
      </c>
      <c r="C609" s="75">
        <v>35863702</v>
      </c>
      <c r="D609" s="75" t="s">
        <v>254</v>
      </c>
      <c r="E609" s="75">
        <v>47</v>
      </c>
      <c r="F609" s="75" t="s">
        <v>251</v>
      </c>
      <c r="G609" s="75" t="s">
        <v>252</v>
      </c>
      <c r="H609" s="75">
        <v>2</v>
      </c>
      <c r="I609" s="76">
        <v>4442</v>
      </c>
      <c r="J609" s="75" t="s">
        <v>248</v>
      </c>
      <c r="K609" s="77">
        <v>1</v>
      </c>
      <c r="L609" s="78" t="s">
        <v>215</v>
      </c>
      <c r="M609" s="75" t="s">
        <v>765</v>
      </c>
      <c r="N609" s="82">
        <v>355.36</v>
      </c>
    </row>
    <row r="610" spans="2:14" x14ac:dyDescent="0.25">
      <c r="B610" s="74" t="s">
        <v>878</v>
      </c>
      <c r="C610" s="75">
        <v>22657065</v>
      </c>
      <c r="D610" s="75" t="s">
        <v>254</v>
      </c>
      <c r="E610" s="75">
        <v>41</v>
      </c>
      <c r="F610" s="75" t="s">
        <v>240</v>
      </c>
      <c r="G610" s="75" t="s">
        <v>247</v>
      </c>
      <c r="H610" s="75">
        <v>3</v>
      </c>
      <c r="I610" s="76">
        <v>5395</v>
      </c>
      <c r="J610" s="75" t="s">
        <v>269</v>
      </c>
      <c r="K610" s="77">
        <v>1</v>
      </c>
      <c r="L610" s="78" t="s">
        <v>215</v>
      </c>
      <c r="M610" s="75" t="s">
        <v>765</v>
      </c>
      <c r="N610" s="82">
        <v>431.6</v>
      </c>
    </row>
    <row r="611" spans="2:14" x14ac:dyDescent="0.25">
      <c r="B611" s="74" t="s">
        <v>879</v>
      </c>
      <c r="C611" s="75">
        <v>54527752</v>
      </c>
      <c r="D611" s="75" t="s">
        <v>239</v>
      </c>
      <c r="E611" s="75">
        <v>25</v>
      </c>
      <c r="F611" s="75" t="s">
        <v>240</v>
      </c>
      <c r="G611" s="75" t="s">
        <v>241</v>
      </c>
      <c r="H611" s="75">
        <v>3</v>
      </c>
      <c r="I611" s="76">
        <v>3694</v>
      </c>
      <c r="J611" s="75" t="s">
        <v>242</v>
      </c>
      <c r="K611" s="77">
        <v>1</v>
      </c>
      <c r="L611" s="78" t="s">
        <v>243</v>
      </c>
      <c r="M611" s="75" t="s">
        <v>765</v>
      </c>
      <c r="N611" s="82">
        <v>295.52</v>
      </c>
    </row>
    <row r="612" spans="2:14" x14ac:dyDescent="0.25">
      <c r="B612" s="74" t="s">
        <v>880</v>
      </c>
      <c r="C612" s="75">
        <v>67198245</v>
      </c>
      <c r="D612" s="75" t="s">
        <v>239</v>
      </c>
      <c r="E612" s="75">
        <v>38</v>
      </c>
      <c r="F612" s="75" t="s">
        <v>240</v>
      </c>
      <c r="G612" s="75" t="s">
        <v>258</v>
      </c>
      <c r="H612" s="75">
        <v>2</v>
      </c>
      <c r="I612" s="76">
        <v>7637</v>
      </c>
      <c r="J612" s="75" t="s">
        <v>256</v>
      </c>
      <c r="K612" s="77">
        <v>1</v>
      </c>
      <c r="L612" s="78" t="s">
        <v>215</v>
      </c>
      <c r="M612" s="75" t="s">
        <v>765</v>
      </c>
      <c r="N612" s="82">
        <v>610.96</v>
      </c>
    </row>
    <row r="613" spans="2:14" x14ac:dyDescent="0.25">
      <c r="B613" s="74" t="s">
        <v>881</v>
      </c>
      <c r="C613" s="75">
        <v>33575464</v>
      </c>
      <c r="D613" s="75" t="s">
        <v>239</v>
      </c>
      <c r="E613" s="75">
        <v>25</v>
      </c>
      <c r="F613" s="75" t="s">
        <v>246</v>
      </c>
      <c r="G613" s="75" t="s">
        <v>252</v>
      </c>
      <c r="H613" s="75">
        <v>2</v>
      </c>
      <c r="I613" s="76">
        <v>4824</v>
      </c>
      <c r="J613" s="75" t="s">
        <v>242</v>
      </c>
      <c r="K613" s="77">
        <v>1</v>
      </c>
      <c r="L613" s="78" t="s">
        <v>271</v>
      </c>
      <c r="M613" s="75" t="s">
        <v>765</v>
      </c>
      <c r="N613" s="82">
        <v>385.92</v>
      </c>
    </row>
    <row r="614" spans="2:14" x14ac:dyDescent="0.25">
      <c r="B614" s="74" t="s">
        <v>882</v>
      </c>
      <c r="C614" s="75">
        <v>34848571</v>
      </c>
      <c r="D614" s="75" t="s">
        <v>239</v>
      </c>
      <c r="E614" s="75">
        <v>23</v>
      </c>
      <c r="F614" s="75" t="s">
        <v>255</v>
      </c>
      <c r="G614" s="75" t="s">
        <v>258</v>
      </c>
      <c r="H614" s="75">
        <v>3</v>
      </c>
      <c r="I614" s="76">
        <v>4843</v>
      </c>
      <c r="J614" s="75" t="s">
        <v>242</v>
      </c>
      <c r="K614" s="77">
        <v>1</v>
      </c>
      <c r="L614" s="78" t="s">
        <v>209</v>
      </c>
      <c r="M614" s="75" t="s">
        <v>765</v>
      </c>
      <c r="N614" s="82">
        <v>387.44</v>
      </c>
    </row>
    <row r="615" spans="2:14" x14ac:dyDescent="0.25">
      <c r="B615" s="74" t="s">
        <v>883</v>
      </c>
      <c r="C615" s="75">
        <v>47893242</v>
      </c>
      <c r="D615" s="75" t="s">
        <v>254</v>
      </c>
      <c r="E615" s="75">
        <v>44</v>
      </c>
      <c r="F615" s="75" t="s">
        <v>255</v>
      </c>
      <c r="G615" s="75" t="s">
        <v>252</v>
      </c>
      <c r="H615" s="75">
        <v>3</v>
      </c>
      <c r="I615" s="76">
        <v>5500</v>
      </c>
      <c r="J615" s="75" t="s">
        <v>262</v>
      </c>
      <c r="K615" s="77">
        <v>0</v>
      </c>
      <c r="L615" s="78" t="s">
        <v>382</v>
      </c>
      <c r="M615" s="75" t="s">
        <v>765</v>
      </c>
      <c r="N615" s="82">
        <v>0</v>
      </c>
    </row>
    <row r="616" spans="2:14" x14ac:dyDescent="0.25">
      <c r="B616" s="74" t="s">
        <v>884</v>
      </c>
      <c r="C616" s="75">
        <v>28023208</v>
      </c>
      <c r="D616" s="75" t="s">
        <v>239</v>
      </c>
      <c r="E616" s="75">
        <v>53</v>
      </c>
      <c r="F616" s="75" t="s">
        <v>246</v>
      </c>
      <c r="G616" s="75" t="s">
        <v>258</v>
      </c>
      <c r="H616" s="75">
        <v>0</v>
      </c>
      <c r="I616" s="76">
        <v>4097</v>
      </c>
      <c r="J616" s="75" t="s">
        <v>256</v>
      </c>
      <c r="K616" s="77">
        <v>0</v>
      </c>
      <c r="L616" s="78" t="s">
        <v>382</v>
      </c>
      <c r="M616" s="75" t="s">
        <v>765</v>
      </c>
      <c r="N616" s="82">
        <v>0</v>
      </c>
    </row>
    <row r="617" spans="2:14" x14ac:dyDescent="0.25">
      <c r="B617" s="74" t="s">
        <v>885</v>
      </c>
      <c r="C617" s="75">
        <v>33195566</v>
      </c>
      <c r="D617" s="75" t="s">
        <v>239</v>
      </c>
      <c r="E617" s="75">
        <v>54</v>
      </c>
      <c r="F617" s="75" t="s">
        <v>251</v>
      </c>
      <c r="G617" s="75" t="s">
        <v>241</v>
      </c>
      <c r="H617" s="75">
        <v>2</v>
      </c>
      <c r="I617" s="76">
        <v>6094</v>
      </c>
      <c r="J617" s="75" t="s">
        <v>269</v>
      </c>
      <c r="K617" s="77">
        <v>0</v>
      </c>
      <c r="L617" s="78" t="s">
        <v>382</v>
      </c>
      <c r="M617" s="75" t="s">
        <v>765</v>
      </c>
      <c r="N617" s="82">
        <v>0</v>
      </c>
    </row>
    <row r="618" spans="2:14" x14ac:dyDescent="0.25">
      <c r="B618" s="74" t="s">
        <v>886</v>
      </c>
      <c r="C618" s="75">
        <v>62471298</v>
      </c>
      <c r="D618" s="75" t="s">
        <v>254</v>
      </c>
      <c r="E618" s="75">
        <v>19</v>
      </c>
      <c r="F618" s="75" t="s">
        <v>240</v>
      </c>
      <c r="G618" s="75" t="s">
        <v>247</v>
      </c>
      <c r="H618" s="75">
        <v>3</v>
      </c>
      <c r="I618" s="76">
        <v>3213</v>
      </c>
      <c r="J618" s="75" t="s">
        <v>269</v>
      </c>
      <c r="K618" s="77">
        <v>0</v>
      </c>
      <c r="L618" s="78" t="s">
        <v>382</v>
      </c>
      <c r="M618" s="75" t="s">
        <v>765</v>
      </c>
      <c r="N618" s="82">
        <v>0</v>
      </c>
    </row>
    <row r="619" spans="2:14" x14ac:dyDescent="0.25">
      <c r="B619" s="74" t="s">
        <v>887</v>
      </c>
      <c r="C619" s="75">
        <v>34700218</v>
      </c>
      <c r="D619" s="75" t="s">
        <v>239</v>
      </c>
      <c r="E619" s="75">
        <v>59</v>
      </c>
      <c r="F619" s="75" t="s">
        <v>251</v>
      </c>
      <c r="G619" s="75" t="s">
        <v>258</v>
      </c>
      <c r="H619" s="75">
        <v>4</v>
      </c>
      <c r="I619" s="76">
        <v>3659</v>
      </c>
      <c r="J619" s="75" t="s">
        <v>256</v>
      </c>
      <c r="K619" s="77">
        <v>0</v>
      </c>
      <c r="L619" s="78" t="s">
        <v>382</v>
      </c>
      <c r="M619" s="75" t="s">
        <v>765</v>
      </c>
      <c r="N619" s="82">
        <v>0</v>
      </c>
    </row>
    <row r="620" spans="2:14" x14ac:dyDescent="0.25">
      <c r="B620" s="74" t="s">
        <v>888</v>
      </c>
      <c r="C620" s="75">
        <v>45253144</v>
      </c>
      <c r="D620" s="75" t="s">
        <v>239</v>
      </c>
      <c r="E620" s="75">
        <v>59</v>
      </c>
      <c r="F620" s="75" t="s">
        <v>255</v>
      </c>
      <c r="G620" s="75" t="s">
        <v>241</v>
      </c>
      <c r="H620" s="75">
        <v>3</v>
      </c>
      <c r="I620" s="76">
        <v>4598</v>
      </c>
      <c r="J620" s="75" t="s">
        <v>262</v>
      </c>
      <c r="K620" s="77">
        <v>0</v>
      </c>
      <c r="L620" s="78" t="s">
        <v>382</v>
      </c>
      <c r="M620" s="75" t="s">
        <v>765</v>
      </c>
      <c r="N620" s="82">
        <v>0</v>
      </c>
    </row>
    <row r="621" spans="2:14" x14ac:dyDescent="0.25">
      <c r="B621" s="74" t="s">
        <v>889</v>
      </c>
      <c r="C621" s="75">
        <v>32821040</v>
      </c>
      <c r="D621" s="75" t="s">
        <v>254</v>
      </c>
      <c r="E621" s="75">
        <v>57</v>
      </c>
      <c r="F621" s="75" t="s">
        <v>246</v>
      </c>
      <c r="G621" s="75" t="s">
        <v>258</v>
      </c>
      <c r="H621" s="75">
        <v>3</v>
      </c>
      <c r="I621" s="76">
        <v>6982</v>
      </c>
      <c r="J621" s="75" t="s">
        <v>269</v>
      </c>
      <c r="K621" s="77">
        <v>0</v>
      </c>
      <c r="L621" s="78" t="s">
        <v>382</v>
      </c>
      <c r="M621" s="75" t="s">
        <v>765</v>
      </c>
      <c r="N621" s="82">
        <v>0</v>
      </c>
    </row>
    <row r="622" spans="2:14" x14ac:dyDescent="0.25">
      <c r="B622" s="74" t="s">
        <v>890</v>
      </c>
      <c r="C622" s="75">
        <v>39194334</v>
      </c>
      <c r="D622" s="75" t="s">
        <v>239</v>
      </c>
      <c r="E622" s="75">
        <v>51</v>
      </c>
      <c r="F622" s="75" t="s">
        <v>251</v>
      </c>
      <c r="G622" s="75" t="s">
        <v>258</v>
      </c>
      <c r="H622" s="75">
        <v>1</v>
      </c>
      <c r="I622" s="76">
        <v>6450</v>
      </c>
      <c r="J622" s="75" t="s">
        <v>269</v>
      </c>
      <c r="K622" s="77">
        <v>10</v>
      </c>
      <c r="L622" s="78" t="s">
        <v>209</v>
      </c>
      <c r="M622" s="75" t="s">
        <v>254</v>
      </c>
      <c r="N622" s="82">
        <v>3225</v>
      </c>
    </row>
    <row r="623" spans="2:14" x14ac:dyDescent="0.25">
      <c r="B623" s="74" t="s">
        <v>891</v>
      </c>
      <c r="C623" s="75">
        <v>30164500</v>
      </c>
      <c r="D623" s="75" t="s">
        <v>239</v>
      </c>
      <c r="E623" s="75">
        <v>56</v>
      </c>
      <c r="F623" s="75" t="s">
        <v>246</v>
      </c>
      <c r="G623" s="75" t="s">
        <v>241</v>
      </c>
      <c r="H623" s="75">
        <v>1</v>
      </c>
      <c r="I623" s="76">
        <v>3829</v>
      </c>
      <c r="J623" s="75" t="s">
        <v>242</v>
      </c>
      <c r="K623" s="77">
        <v>10</v>
      </c>
      <c r="L623" s="78" t="s">
        <v>193</v>
      </c>
      <c r="M623" s="75" t="s">
        <v>254</v>
      </c>
      <c r="N623" s="82">
        <v>1914.5</v>
      </c>
    </row>
    <row r="624" spans="2:14" x14ac:dyDescent="0.25">
      <c r="B624" s="74" t="s">
        <v>892</v>
      </c>
      <c r="C624" s="75">
        <v>43135331</v>
      </c>
      <c r="D624" s="75" t="s">
        <v>254</v>
      </c>
      <c r="E624" s="75">
        <v>21</v>
      </c>
      <c r="F624" s="75" t="s">
        <v>246</v>
      </c>
      <c r="G624" s="75" t="s">
        <v>241</v>
      </c>
      <c r="H624" s="75">
        <v>4</v>
      </c>
      <c r="I624" s="76">
        <v>3245</v>
      </c>
      <c r="J624" s="75" t="s">
        <v>269</v>
      </c>
      <c r="K624" s="77">
        <v>10</v>
      </c>
      <c r="L624" s="78" t="s">
        <v>210</v>
      </c>
      <c r="M624" s="75" t="s">
        <v>254</v>
      </c>
      <c r="N624" s="82">
        <v>1622.5</v>
      </c>
    </row>
    <row r="625" spans="2:14" x14ac:dyDescent="0.25">
      <c r="B625" s="74" t="s">
        <v>893</v>
      </c>
      <c r="C625" s="75">
        <v>59652650</v>
      </c>
      <c r="D625" s="75" t="s">
        <v>254</v>
      </c>
      <c r="E625" s="75">
        <v>27</v>
      </c>
      <c r="F625" s="75" t="s">
        <v>246</v>
      </c>
      <c r="G625" s="75" t="s">
        <v>252</v>
      </c>
      <c r="H625" s="75">
        <v>0</v>
      </c>
      <c r="I625" s="76">
        <v>5723</v>
      </c>
      <c r="J625" s="75" t="s">
        <v>269</v>
      </c>
      <c r="K625" s="77">
        <v>10</v>
      </c>
      <c r="L625" s="78" t="s">
        <v>215</v>
      </c>
      <c r="M625" s="75" t="s">
        <v>254</v>
      </c>
      <c r="N625" s="82">
        <v>2861.5</v>
      </c>
    </row>
    <row r="626" spans="2:14" x14ac:dyDescent="0.25">
      <c r="B626" s="74" t="s">
        <v>894</v>
      </c>
      <c r="C626" s="75">
        <v>63025416</v>
      </c>
      <c r="D626" s="75" t="s">
        <v>239</v>
      </c>
      <c r="E626" s="75">
        <v>54</v>
      </c>
      <c r="F626" s="75" t="s">
        <v>240</v>
      </c>
      <c r="G626" s="75" t="s">
        <v>252</v>
      </c>
      <c r="H626" s="75">
        <v>2</v>
      </c>
      <c r="I626" s="76">
        <v>9824</v>
      </c>
      <c r="J626" s="75" t="s">
        <v>248</v>
      </c>
      <c r="K626" s="77">
        <v>10</v>
      </c>
      <c r="L626" s="78" t="s">
        <v>215</v>
      </c>
      <c r="M626" s="75" t="s">
        <v>254</v>
      </c>
      <c r="N626" s="82">
        <v>4912</v>
      </c>
    </row>
    <row r="627" spans="2:14" x14ac:dyDescent="0.25">
      <c r="B627" s="74" t="s">
        <v>895</v>
      </c>
      <c r="C627" s="75">
        <v>65166759</v>
      </c>
      <c r="D627" s="75" t="s">
        <v>239</v>
      </c>
      <c r="E627" s="75">
        <v>52</v>
      </c>
      <c r="F627" s="75" t="s">
        <v>240</v>
      </c>
      <c r="G627" s="75" t="s">
        <v>247</v>
      </c>
      <c r="H627" s="75">
        <v>1</v>
      </c>
      <c r="I627" s="76">
        <v>3065</v>
      </c>
      <c r="J627" s="75" t="s">
        <v>248</v>
      </c>
      <c r="K627" s="77">
        <v>10</v>
      </c>
      <c r="L627" s="78" t="s">
        <v>263</v>
      </c>
      <c r="M627" s="75" t="s">
        <v>254</v>
      </c>
      <c r="N627" s="82">
        <v>1532.5</v>
      </c>
    </row>
    <row r="628" spans="2:14" x14ac:dyDescent="0.25">
      <c r="B628" s="74" t="s">
        <v>896</v>
      </c>
      <c r="C628" s="75">
        <v>51909323</v>
      </c>
      <c r="D628" s="75" t="s">
        <v>239</v>
      </c>
      <c r="E628" s="75">
        <v>32</v>
      </c>
      <c r="F628" s="75" t="s">
        <v>246</v>
      </c>
      <c r="G628" s="75" t="s">
        <v>247</v>
      </c>
      <c r="H628" s="75">
        <v>4</v>
      </c>
      <c r="I628" s="76">
        <v>6954</v>
      </c>
      <c r="J628" s="75" t="s">
        <v>248</v>
      </c>
      <c r="K628" s="77">
        <v>10</v>
      </c>
      <c r="L628" s="78" t="s">
        <v>213</v>
      </c>
      <c r="M628" s="75" t="s">
        <v>254</v>
      </c>
      <c r="N628" s="82">
        <v>3477</v>
      </c>
    </row>
    <row r="629" spans="2:14" x14ac:dyDescent="0.25">
      <c r="B629" s="74" t="s">
        <v>897</v>
      </c>
      <c r="C629" s="75">
        <v>47785786</v>
      </c>
      <c r="D629" s="75" t="s">
        <v>254</v>
      </c>
      <c r="E629" s="75">
        <v>42</v>
      </c>
      <c r="F629" s="75" t="s">
        <v>240</v>
      </c>
      <c r="G629" s="75" t="s">
        <v>252</v>
      </c>
      <c r="H629" s="75">
        <v>1</v>
      </c>
      <c r="I629" s="76">
        <v>9197</v>
      </c>
      <c r="J629" s="75" t="s">
        <v>269</v>
      </c>
      <c r="K629" s="77">
        <v>10</v>
      </c>
      <c r="L629" s="78" t="s">
        <v>193</v>
      </c>
      <c r="M629" s="75" t="s">
        <v>254</v>
      </c>
      <c r="N629" s="82">
        <v>4598.5</v>
      </c>
    </row>
    <row r="630" spans="2:14" x14ac:dyDescent="0.25">
      <c r="B630" s="74" t="s">
        <v>898</v>
      </c>
      <c r="C630" s="75">
        <v>33379651</v>
      </c>
      <c r="D630" s="75" t="s">
        <v>254</v>
      </c>
      <c r="E630" s="75">
        <v>30</v>
      </c>
      <c r="F630" s="75" t="s">
        <v>255</v>
      </c>
      <c r="G630" s="75" t="s">
        <v>252</v>
      </c>
      <c r="H630" s="75">
        <v>4</v>
      </c>
      <c r="I630" s="76">
        <v>8335</v>
      </c>
      <c r="J630" s="75" t="s">
        <v>262</v>
      </c>
      <c r="K630" s="77">
        <v>10</v>
      </c>
      <c r="L630" s="78" t="s">
        <v>193</v>
      </c>
      <c r="M630" s="75" t="s">
        <v>254</v>
      </c>
      <c r="N630" s="82">
        <v>4167.5</v>
      </c>
    </row>
    <row r="631" spans="2:14" x14ac:dyDescent="0.25">
      <c r="B631" s="74" t="s">
        <v>899</v>
      </c>
      <c r="C631" s="75">
        <v>32485575</v>
      </c>
      <c r="D631" s="75" t="s">
        <v>254</v>
      </c>
      <c r="E631" s="75">
        <v>27</v>
      </c>
      <c r="F631" s="75" t="s">
        <v>255</v>
      </c>
      <c r="G631" s="75" t="s">
        <v>247</v>
      </c>
      <c r="H631" s="75">
        <v>2</v>
      </c>
      <c r="I631" s="76">
        <v>7456</v>
      </c>
      <c r="J631" s="75" t="s">
        <v>269</v>
      </c>
      <c r="K631" s="77">
        <v>10</v>
      </c>
      <c r="L631" s="78" t="s">
        <v>214</v>
      </c>
      <c r="M631" s="75" t="s">
        <v>254</v>
      </c>
      <c r="N631" s="82">
        <v>3728</v>
      </c>
    </row>
    <row r="632" spans="2:14" x14ac:dyDescent="0.25">
      <c r="B632" s="74" t="s">
        <v>900</v>
      </c>
      <c r="C632" s="75">
        <v>59774349</v>
      </c>
      <c r="D632" s="75" t="s">
        <v>239</v>
      </c>
      <c r="E632" s="75">
        <v>23</v>
      </c>
      <c r="F632" s="75" t="s">
        <v>246</v>
      </c>
      <c r="G632" s="75" t="s">
        <v>258</v>
      </c>
      <c r="H632" s="75">
        <v>1</v>
      </c>
      <c r="I632" s="76">
        <v>9340</v>
      </c>
      <c r="J632" s="75" t="s">
        <v>242</v>
      </c>
      <c r="K632" s="77">
        <v>10</v>
      </c>
      <c r="L632" s="78" t="s">
        <v>279</v>
      </c>
      <c r="M632" s="75" t="s">
        <v>254</v>
      </c>
      <c r="N632" s="82">
        <v>4670</v>
      </c>
    </row>
    <row r="633" spans="2:14" x14ac:dyDescent="0.25">
      <c r="B633" s="74" t="s">
        <v>901</v>
      </c>
      <c r="C633" s="75">
        <v>24042860</v>
      </c>
      <c r="D633" s="75" t="s">
        <v>239</v>
      </c>
      <c r="E633" s="75">
        <v>50</v>
      </c>
      <c r="F633" s="75" t="s">
        <v>240</v>
      </c>
      <c r="G633" s="75" t="s">
        <v>258</v>
      </c>
      <c r="H633" s="75">
        <v>2</v>
      </c>
      <c r="I633" s="76">
        <v>4824</v>
      </c>
      <c r="J633" s="75" t="s">
        <v>256</v>
      </c>
      <c r="K633" s="77">
        <v>10</v>
      </c>
      <c r="L633" s="78" t="s">
        <v>212</v>
      </c>
      <c r="M633" s="75" t="s">
        <v>254</v>
      </c>
      <c r="N633" s="82">
        <v>2412</v>
      </c>
    </row>
    <row r="634" spans="2:14" x14ac:dyDescent="0.25">
      <c r="B634" s="74" t="s">
        <v>902</v>
      </c>
      <c r="C634" s="75">
        <v>47946640</v>
      </c>
      <c r="D634" s="75" t="s">
        <v>239</v>
      </c>
      <c r="E634" s="75">
        <v>64</v>
      </c>
      <c r="F634" s="75" t="s">
        <v>251</v>
      </c>
      <c r="G634" s="75" t="s">
        <v>258</v>
      </c>
      <c r="H634" s="75">
        <v>1</v>
      </c>
      <c r="I634" s="76">
        <v>4376</v>
      </c>
      <c r="J634" s="75" t="s">
        <v>262</v>
      </c>
      <c r="K634" s="77">
        <v>9</v>
      </c>
      <c r="L634" s="78" t="s">
        <v>271</v>
      </c>
      <c r="M634" s="75" t="s">
        <v>254</v>
      </c>
      <c r="N634" s="82">
        <v>1969.1999999999998</v>
      </c>
    </row>
    <row r="635" spans="2:14" x14ac:dyDescent="0.25">
      <c r="B635" s="74" t="s">
        <v>903</v>
      </c>
      <c r="C635" s="75">
        <v>33831978</v>
      </c>
      <c r="D635" s="75" t="s">
        <v>239</v>
      </c>
      <c r="E635" s="75">
        <v>25</v>
      </c>
      <c r="F635" s="75" t="s">
        <v>246</v>
      </c>
      <c r="G635" s="75" t="s">
        <v>247</v>
      </c>
      <c r="H635" s="75">
        <v>0</v>
      </c>
      <c r="I635" s="76">
        <v>6367</v>
      </c>
      <c r="J635" s="75" t="s">
        <v>256</v>
      </c>
      <c r="K635" s="77">
        <v>9</v>
      </c>
      <c r="L635" s="78" t="s">
        <v>193</v>
      </c>
      <c r="M635" s="75" t="s">
        <v>254</v>
      </c>
      <c r="N635" s="82">
        <v>2865.1499999999996</v>
      </c>
    </row>
    <row r="636" spans="2:14" x14ac:dyDescent="0.25">
      <c r="B636" s="74" t="s">
        <v>904</v>
      </c>
      <c r="C636" s="75">
        <v>65726572</v>
      </c>
      <c r="D636" s="75" t="s">
        <v>254</v>
      </c>
      <c r="E636" s="75">
        <v>34</v>
      </c>
      <c r="F636" s="75" t="s">
        <v>240</v>
      </c>
      <c r="G636" s="75" t="s">
        <v>258</v>
      </c>
      <c r="H636" s="75">
        <v>1</v>
      </c>
      <c r="I636" s="76">
        <v>2394</v>
      </c>
      <c r="J636" s="75" t="s">
        <v>242</v>
      </c>
      <c r="K636" s="77">
        <v>9</v>
      </c>
      <c r="L636" s="78" t="s">
        <v>279</v>
      </c>
      <c r="M636" s="75" t="s">
        <v>254</v>
      </c>
      <c r="N636" s="82">
        <v>1077.3</v>
      </c>
    </row>
    <row r="637" spans="2:14" x14ac:dyDescent="0.25">
      <c r="B637" s="74" t="s">
        <v>905</v>
      </c>
      <c r="C637" s="75">
        <v>41570661</v>
      </c>
      <c r="D637" s="75" t="s">
        <v>239</v>
      </c>
      <c r="E637" s="75">
        <v>50</v>
      </c>
      <c r="F637" s="75" t="s">
        <v>255</v>
      </c>
      <c r="G637" s="75" t="s">
        <v>247</v>
      </c>
      <c r="H637" s="75">
        <v>1</v>
      </c>
      <c r="I637" s="76">
        <v>6088</v>
      </c>
      <c r="J637" s="75" t="s">
        <v>242</v>
      </c>
      <c r="K637" s="77">
        <v>9</v>
      </c>
      <c r="L637" s="78" t="s">
        <v>271</v>
      </c>
      <c r="M637" s="75" t="s">
        <v>254</v>
      </c>
      <c r="N637" s="82">
        <v>2739.6</v>
      </c>
    </row>
    <row r="638" spans="2:14" x14ac:dyDescent="0.25">
      <c r="B638" s="74" t="s">
        <v>906</v>
      </c>
      <c r="C638" s="75">
        <v>65084523</v>
      </c>
      <c r="D638" s="75" t="s">
        <v>239</v>
      </c>
      <c r="E638" s="75">
        <v>25</v>
      </c>
      <c r="F638" s="75" t="s">
        <v>246</v>
      </c>
      <c r="G638" s="75" t="s">
        <v>241</v>
      </c>
      <c r="H638" s="75">
        <v>4</v>
      </c>
      <c r="I638" s="76">
        <v>6733</v>
      </c>
      <c r="J638" s="75" t="s">
        <v>248</v>
      </c>
      <c r="K638" s="77">
        <v>9</v>
      </c>
      <c r="L638" s="78" t="s">
        <v>209</v>
      </c>
      <c r="M638" s="75" t="s">
        <v>254</v>
      </c>
      <c r="N638" s="82">
        <v>3029.8500000000004</v>
      </c>
    </row>
    <row r="639" spans="2:14" x14ac:dyDescent="0.25">
      <c r="B639" s="74" t="s">
        <v>907</v>
      </c>
      <c r="C639" s="75">
        <v>28786638</v>
      </c>
      <c r="D639" s="75" t="s">
        <v>239</v>
      </c>
      <c r="E639" s="75">
        <v>48</v>
      </c>
      <c r="F639" s="75" t="s">
        <v>246</v>
      </c>
      <c r="G639" s="75" t="s">
        <v>241</v>
      </c>
      <c r="H639" s="75">
        <v>2</v>
      </c>
      <c r="I639" s="76">
        <v>5193</v>
      </c>
      <c r="J639" s="75" t="s">
        <v>256</v>
      </c>
      <c r="K639" s="77">
        <v>9</v>
      </c>
      <c r="L639" s="78" t="s">
        <v>210</v>
      </c>
      <c r="M639" s="75" t="s">
        <v>254</v>
      </c>
      <c r="N639" s="82">
        <v>2336.85</v>
      </c>
    </row>
    <row r="640" spans="2:14" x14ac:dyDescent="0.25">
      <c r="B640" s="74" t="s">
        <v>908</v>
      </c>
      <c r="C640" s="75">
        <v>21601088</v>
      </c>
      <c r="D640" s="75" t="s">
        <v>239</v>
      </c>
      <c r="E640" s="75">
        <v>63</v>
      </c>
      <c r="F640" s="75" t="s">
        <v>240</v>
      </c>
      <c r="G640" s="75" t="s">
        <v>258</v>
      </c>
      <c r="H640" s="75">
        <v>1</v>
      </c>
      <c r="I640" s="76">
        <v>2018</v>
      </c>
      <c r="J640" s="75" t="s">
        <v>256</v>
      </c>
      <c r="K640" s="77">
        <v>9</v>
      </c>
      <c r="L640" s="78" t="s">
        <v>212</v>
      </c>
      <c r="M640" s="75" t="s">
        <v>254</v>
      </c>
      <c r="N640" s="82">
        <v>908.1</v>
      </c>
    </row>
    <row r="641" spans="2:14" x14ac:dyDescent="0.25">
      <c r="B641" s="74" t="s">
        <v>909</v>
      </c>
      <c r="C641" s="75">
        <v>23877397</v>
      </c>
      <c r="D641" s="75" t="s">
        <v>239</v>
      </c>
      <c r="E641" s="75">
        <v>25</v>
      </c>
      <c r="F641" s="75" t="s">
        <v>255</v>
      </c>
      <c r="G641" s="75" t="s">
        <v>247</v>
      </c>
      <c r="H641" s="75">
        <v>2</v>
      </c>
      <c r="I641" s="76">
        <v>8609</v>
      </c>
      <c r="J641" s="75" t="s">
        <v>248</v>
      </c>
      <c r="K641" s="77">
        <v>9</v>
      </c>
      <c r="L641" s="78" t="s">
        <v>203</v>
      </c>
      <c r="M641" s="75" t="s">
        <v>254</v>
      </c>
      <c r="N641" s="82">
        <v>3874.0499999999997</v>
      </c>
    </row>
    <row r="642" spans="2:14" x14ac:dyDescent="0.25">
      <c r="B642" s="74" t="s">
        <v>910</v>
      </c>
      <c r="C642" s="75">
        <v>69596577</v>
      </c>
      <c r="D642" s="75" t="s">
        <v>239</v>
      </c>
      <c r="E642" s="75">
        <v>39</v>
      </c>
      <c r="F642" s="75" t="s">
        <v>240</v>
      </c>
      <c r="G642" s="75" t="s">
        <v>258</v>
      </c>
      <c r="H642" s="75">
        <v>2</v>
      </c>
      <c r="I642" s="76">
        <v>8553</v>
      </c>
      <c r="J642" s="75" t="s">
        <v>262</v>
      </c>
      <c r="K642" s="77">
        <v>9</v>
      </c>
      <c r="L642" s="78" t="s">
        <v>215</v>
      </c>
      <c r="M642" s="75" t="s">
        <v>254</v>
      </c>
      <c r="N642" s="82">
        <v>3848.85</v>
      </c>
    </row>
    <row r="643" spans="2:14" x14ac:dyDescent="0.25">
      <c r="B643" s="74" t="s">
        <v>911</v>
      </c>
      <c r="C643" s="75">
        <v>28326004</v>
      </c>
      <c r="D643" s="75" t="s">
        <v>239</v>
      </c>
      <c r="E643" s="75">
        <v>42</v>
      </c>
      <c r="F643" s="75" t="s">
        <v>255</v>
      </c>
      <c r="G643" s="75" t="s">
        <v>241</v>
      </c>
      <c r="H643" s="75">
        <v>0</v>
      </c>
      <c r="I643" s="76">
        <v>2627</v>
      </c>
      <c r="J643" s="75" t="s">
        <v>262</v>
      </c>
      <c r="K643" s="77">
        <v>9</v>
      </c>
      <c r="L643" s="78" t="s">
        <v>215</v>
      </c>
      <c r="M643" s="75" t="s">
        <v>254</v>
      </c>
      <c r="N643" s="82">
        <v>1182.1500000000001</v>
      </c>
    </row>
    <row r="644" spans="2:14" x14ac:dyDescent="0.25">
      <c r="B644" s="74" t="s">
        <v>912</v>
      </c>
      <c r="C644" s="75">
        <v>37792120</v>
      </c>
      <c r="D644" s="75" t="s">
        <v>239</v>
      </c>
      <c r="E644" s="75">
        <v>46</v>
      </c>
      <c r="F644" s="75" t="s">
        <v>251</v>
      </c>
      <c r="G644" s="75" t="s">
        <v>241</v>
      </c>
      <c r="H644" s="75">
        <v>3</v>
      </c>
      <c r="I644" s="76">
        <v>3294</v>
      </c>
      <c r="J644" s="75" t="s">
        <v>269</v>
      </c>
      <c r="K644" s="77">
        <v>9</v>
      </c>
      <c r="L644" s="78" t="s">
        <v>243</v>
      </c>
      <c r="M644" s="75" t="s">
        <v>254</v>
      </c>
      <c r="N644" s="82">
        <v>1482.3</v>
      </c>
    </row>
    <row r="645" spans="2:14" x14ac:dyDescent="0.25">
      <c r="B645" s="74" t="s">
        <v>913</v>
      </c>
      <c r="C645" s="75">
        <v>44501961</v>
      </c>
      <c r="D645" s="75" t="s">
        <v>254</v>
      </c>
      <c r="E645" s="75">
        <v>24</v>
      </c>
      <c r="F645" s="75" t="s">
        <v>246</v>
      </c>
      <c r="G645" s="75" t="s">
        <v>241</v>
      </c>
      <c r="H645" s="75">
        <v>2</v>
      </c>
      <c r="I645" s="76">
        <v>8233</v>
      </c>
      <c r="J645" s="75" t="s">
        <v>248</v>
      </c>
      <c r="K645" s="77">
        <v>9</v>
      </c>
      <c r="L645" s="78" t="s">
        <v>203</v>
      </c>
      <c r="M645" s="75" t="s">
        <v>254</v>
      </c>
      <c r="N645" s="82">
        <v>3704.8500000000004</v>
      </c>
    </row>
    <row r="646" spans="2:14" x14ac:dyDescent="0.25">
      <c r="B646" s="74" t="s">
        <v>914</v>
      </c>
      <c r="C646" s="75">
        <v>67440418</v>
      </c>
      <c r="D646" s="75" t="s">
        <v>239</v>
      </c>
      <c r="E646" s="75">
        <v>44</v>
      </c>
      <c r="F646" s="75" t="s">
        <v>255</v>
      </c>
      <c r="G646" s="75" t="s">
        <v>258</v>
      </c>
      <c r="H646" s="75">
        <v>3</v>
      </c>
      <c r="I646" s="76">
        <v>4718</v>
      </c>
      <c r="J646" s="75" t="s">
        <v>242</v>
      </c>
      <c r="K646" s="77">
        <v>9</v>
      </c>
      <c r="L646" s="78" t="s">
        <v>279</v>
      </c>
      <c r="M646" s="75" t="s">
        <v>254</v>
      </c>
      <c r="N646" s="82">
        <v>2123.1</v>
      </c>
    </row>
    <row r="647" spans="2:14" x14ac:dyDescent="0.25">
      <c r="B647" s="74" t="s">
        <v>915</v>
      </c>
      <c r="C647" s="75">
        <v>45013720</v>
      </c>
      <c r="D647" s="75" t="s">
        <v>254</v>
      </c>
      <c r="E647" s="75">
        <v>62</v>
      </c>
      <c r="F647" s="75" t="s">
        <v>251</v>
      </c>
      <c r="G647" s="75" t="s">
        <v>247</v>
      </c>
      <c r="H647" s="75">
        <v>0</v>
      </c>
      <c r="I647" s="76">
        <v>6947</v>
      </c>
      <c r="J647" s="75" t="s">
        <v>256</v>
      </c>
      <c r="K647" s="77">
        <v>8</v>
      </c>
      <c r="L647" s="78" t="s">
        <v>243</v>
      </c>
      <c r="M647" s="75" t="s">
        <v>254</v>
      </c>
      <c r="N647" s="82">
        <v>2778.8</v>
      </c>
    </row>
    <row r="648" spans="2:14" x14ac:dyDescent="0.25">
      <c r="B648" s="74" t="s">
        <v>916</v>
      </c>
      <c r="C648" s="75">
        <v>34386297</v>
      </c>
      <c r="D648" s="75" t="s">
        <v>254</v>
      </c>
      <c r="E648" s="75">
        <v>43</v>
      </c>
      <c r="F648" s="75" t="s">
        <v>255</v>
      </c>
      <c r="G648" s="75" t="s">
        <v>241</v>
      </c>
      <c r="H648" s="75">
        <v>3</v>
      </c>
      <c r="I648" s="76">
        <v>7827</v>
      </c>
      <c r="J648" s="75" t="s">
        <v>248</v>
      </c>
      <c r="K648" s="77">
        <v>8</v>
      </c>
      <c r="L648" s="78" t="s">
        <v>243</v>
      </c>
      <c r="M648" s="75" t="s">
        <v>254</v>
      </c>
      <c r="N648" s="82">
        <v>3130.7999999999997</v>
      </c>
    </row>
    <row r="649" spans="2:14" x14ac:dyDescent="0.25">
      <c r="B649" s="74" t="s">
        <v>917</v>
      </c>
      <c r="C649" s="75">
        <v>65704704</v>
      </c>
      <c r="D649" s="75" t="s">
        <v>254</v>
      </c>
      <c r="E649" s="75">
        <v>36</v>
      </c>
      <c r="F649" s="75" t="s">
        <v>240</v>
      </c>
      <c r="G649" s="75" t="s">
        <v>252</v>
      </c>
      <c r="H649" s="75">
        <v>2</v>
      </c>
      <c r="I649" s="76">
        <v>7032</v>
      </c>
      <c r="J649" s="75" t="s">
        <v>242</v>
      </c>
      <c r="K649" s="77">
        <v>8</v>
      </c>
      <c r="L649" s="78" t="s">
        <v>215</v>
      </c>
      <c r="M649" s="75" t="s">
        <v>254</v>
      </c>
      <c r="N649" s="82">
        <v>2812.7999999999997</v>
      </c>
    </row>
    <row r="650" spans="2:14" x14ac:dyDescent="0.25">
      <c r="B650" s="74" t="s">
        <v>918</v>
      </c>
      <c r="C650" s="75">
        <v>49038404</v>
      </c>
      <c r="D650" s="75" t="s">
        <v>239</v>
      </c>
      <c r="E650" s="75">
        <v>37</v>
      </c>
      <c r="F650" s="75" t="s">
        <v>246</v>
      </c>
      <c r="G650" s="75" t="s">
        <v>247</v>
      </c>
      <c r="H650" s="75">
        <v>4</v>
      </c>
      <c r="I650" s="76">
        <v>2349</v>
      </c>
      <c r="J650" s="75" t="s">
        <v>248</v>
      </c>
      <c r="K650" s="77">
        <v>8</v>
      </c>
      <c r="L650" s="78" t="s">
        <v>243</v>
      </c>
      <c r="M650" s="75" t="s">
        <v>254</v>
      </c>
      <c r="N650" s="82">
        <v>939.59999999999991</v>
      </c>
    </row>
    <row r="651" spans="2:14" x14ac:dyDescent="0.25">
      <c r="B651" s="74" t="s">
        <v>919</v>
      </c>
      <c r="C651" s="75">
        <v>36331030</v>
      </c>
      <c r="D651" s="75" t="s">
        <v>239</v>
      </c>
      <c r="E651" s="75">
        <v>35</v>
      </c>
      <c r="F651" s="75" t="s">
        <v>251</v>
      </c>
      <c r="G651" s="75" t="s">
        <v>241</v>
      </c>
      <c r="H651" s="75">
        <v>2</v>
      </c>
      <c r="I651" s="76">
        <v>4668</v>
      </c>
      <c r="J651" s="75" t="s">
        <v>256</v>
      </c>
      <c r="K651" s="77">
        <v>8</v>
      </c>
      <c r="L651" s="78" t="s">
        <v>271</v>
      </c>
      <c r="M651" s="75" t="s">
        <v>254</v>
      </c>
      <c r="N651" s="82">
        <v>1867.2</v>
      </c>
    </row>
    <row r="652" spans="2:14" x14ac:dyDescent="0.25">
      <c r="B652" s="74" t="s">
        <v>920</v>
      </c>
      <c r="C652" s="75">
        <v>24429087</v>
      </c>
      <c r="D652" s="75" t="s">
        <v>254</v>
      </c>
      <c r="E652" s="75">
        <v>37</v>
      </c>
      <c r="F652" s="75" t="s">
        <v>246</v>
      </c>
      <c r="G652" s="75" t="s">
        <v>258</v>
      </c>
      <c r="H652" s="75">
        <v>3</v>
      </c>
      <c r="I652" s="76">
        <v>6492</v>
      </c>
      <c r="J652" s="75" t="s">
        <v>262</v>
      </c>
      <c r="K652" s="77">
        <v>8</v>
      </c>
      <c r="L652" s="78" t="s">
        <v>212</v>
      </c>
      <c r="M652" s="75" t="s">
        <v>254</v>
      </c>
      <c r="N652" s="82">
        <v>2596.8000000000002</v>
      </c>
    </row>
    <row r="653" spans="2:14" x14ac:dyDescent="0.25">
      <c r="B653" s="74" t="s">
        <v>921</v>
      </c>
      <c r="C653" s="75">
        <v>23270593</v>
      </c>
      <c r="D653" s="75" t="s">
        <v>254</v>
      </c>
      <c r="E653" s="75">
        <v>35</v>
      </c>
      <c r="F653" s="75" t="s">
        <v>246</v>
      </c>
      <c r="G653" s="75" t="s">
        <v>247</v>
      </c>
      <c r="H653" s="75">
        <v>1</v>
      </c>
      <c r="I653" s="76">
        <v>8878</v>
      </c>
      <c r="J653" s="75" t="s">
        <v>262</v>
      </c>
      <c r="K653" s="77">
        <v>7</v>
      </c>
      <c r="L653" s="78" t="s">
        <v>214</v>
      </c>
      <c r="M653" s="75" t="s">
        <v>254</v>
      </c>
      <c r="N653" s="82">
        <v>3107.3</v>
      </c>
    </row>
    <row r="654" spans="2:14" x14ac:dyDescent="0.25">
      <c r="B654" s="74" t="s">
        <v>922</v>
      </c>
      <c r="C654" s="75">
        <v>30953279</v>
      </c>
      <c r="D654" s="75" t="s">
        <v>254</v>
      </c>
      <c r="E654" s="75">
        <v>55</v>
      </c>
      <c r="F654" s="75" t="s">
        <v>240</v>
      </c>
      <c r="G654" s="75" t="s">
        <v>252</v>
      </c>
      <c r="H654" s="75">
        <v>0</v>
      </c>
      <c r="I654" s="76">
        <v>3417</v>
      </c>
      <c r="J654" s="75" t="s">
        <v>256</v>
      </c>
      <c r="K654" s="77">
        <v>7</v>
      </c>
      <c r="L654" s="78" t="s">
        <v>193</v>
      </c>
      <c r="M654" s="75" t="s">
        <v>254</v>
      </c>
      <c r="N654" s="82">
        <v>1195.95</v>
      </c>
    </row>
    <row r="655" spans="2:14" x14ac:dyDescent="0.25">
      <c r="B655" s="74" t="s">
        <v>923</v>
      </c>
      <c r="C655" s="75">
        <v>28566712</v>
      </c>
      <c r="D655" s="75" t="s">
        <v>239</v>
      </c>
      <c r="E655" s="75">
        <v>36</v>
      </c>
      <c r="F655" s="75" t="s">
        <v>240</v>
      </c>
      <c r="G655" s="75" t="s">
        <v>258</v>
      </c>
      <c r="H655" s="75">
        <v>4</v>
      </c>
      <c r="I655" s="76">
        <v>7481</v>
      </c>
      <c r="J655" s="75" t="s">
        <v>248</v>
      </c>
      <c r="K655" s="77">
        <v>7</v>
      </c>
      <c r="L655" s="78" t="s">
        <v>279</v>
      </c>
      <c r="M655" s="75" t="s">
        <v>254</v>
      </c>
      <c r="N655" s="82">
        <v>2618.35</v>
      </c>
    </row>
    <row r="656" spans="2:14" x14ac:dyDescent="0.25">
      <c r="B656" s="74" t="s">
        <v>924</v>
      </c>
      <c r="C656" s="75">
        <v>21898305</v>
      </c>
      <c r="D656" s="75" t="s">
        <v>254</v>
      </c>
      <c r="E656" s="75">
        <v>41</v>
      </c>
      <c r="F656" s="75" t="s">
        <v>251</v>
      </c>
      <c r="G656" s="75" t="s">
        <v>258</v>
      </c>
      <c r="H656" s="75">
        <v>3</v>
      </c>
      <c r="I656" s="76">
        <v>3188</v>
      </c>
      <c r="J656" s="75" t="s">
        <v>262</v>
      </c>
      <c r="K656" s="77">
        <v>7</v>
      </c>
      <c r="L656" s="78" t="s">
        <v>213</v>
      </c>
      <c r="M656" s="75" t="s">
        <v>254</v>
      </c>
      <c r="N656" s="82">
        <v>1115.8</v>
      </c>
    </row>
    <row r="657" spans="2:14" x14ac:dyDescent="0.25">
      <c r="B657" s="74" t="s">
        <v>925</v>
      </c>
      <c r="C657" s="75">
        <v>52323030</v>
      </c>
      <c r="D657" s="75" t="s">
        <v>254</v>
      </c>
      <c r="E657" s="75">
        <v>62</v>
      </c>
      <c r="F657" s="75" t="s">
        <v>240</v>
      </c>
      <c r="G657" s="75" t="s">
        <v>241</v>
      </c>
      <c r="H657" s="75">
        <v>4</v>
      </c>
      <c r="I657" s="76">
        <v>3199</v>
      </c>
      <c r="J657" s="75" t="s">
        <v>248</v>
      </c>
      <c r="K657" s="77">
        <v>7</v>
      </c>
      <c r="L657" s="78" t="s">
        <v>213</v>
      </c>
      <c r="M657" s="75" t="s">
        <v>254</v>
      </c>
      <c r="N657" s="82">
        <v>1119.6500000000001</v>
      </c>
    </row>
    <row r="658" spans="2:14" x14ac:dyDescent="0.25">
      <c r="B658" s="74" t="s">
        <v>926</v>
      </c>
      <c r="C658" s="75">
        <v>52632759</v>
      </c>
      <c r="D658" s="75" t="s">
        <v>254</v>
      </c>
      <c r="E658" s="75">
        <v>55</v>
      </c>
      <c r="F658" s="75" t="s">
        <v>251</v>
      </c>
      <c r="G658" s="75" t="s">
        <v>258</v>
      </c>
      <c r="H658" s="75">
        <v>1</v>
      </c>
      <c r="I658" s="76">
        <v>5064</v>
      </c>
      <c r="J658" s="75" t="s">
        <v>269</v>
      </c>
      <c r="K658" s="77">
        <v>7</v>
      </c>
      <c r="L658" s="78" t="s">
        <v>214</v>
      </c>
      <c r="M658" s="75" t="s">
        <v>254</v>
      </c>
      <c r="N658" s="82">
        <v>1772.4</v>
      </c>
    </row>
    <row r="659" spans="2:14" x14ac:dyDescent="0.25">
      <c r="B659" s="74" t="s">
        <v>927</v>
      </c>
      <c r="C659" s="75">
        <v>27968551</v>
      </c>
      <c r="D659" s="75" t="s">
        <v>239</v>
      </c>
      <c r="E659" s="75">
        <v>30</v>
      </c>
      <c r="F659" s="75" t="s">
        <v>246</v>
      </c>
      <c r="G659" s="75" t="s">
        <v>241</v>
      </c>
      <c r="H659" s="75">
        <v>3</v>
      </c>
      <c r="I659" s="76">
        <v>4269</v>
      </c>
      <c r="J659" s="75" t="s">
        <v>248</v>
      </c>
      <c r="K659" s="77">
        <v>7</v>
      </c>
      <c r="L659" s="78" t="s">
        <v>279</v>
      </c>
      <c r="M659" s="75" t="s">
        <v>254</v>
      </c>
      <c r="N659" s="82">
        <v>1494.1499999999999</v>
      </c>
    </row>
    <row r="660" spans="2:14" x14ac:dyDescent="0.25">
      <c r="B660" s="74" t="s">
        <v>928</v>
      </c>
      <c r="C660" s="75">
        <v>59955662</v>
      </c>
      <c r="D660" s="75" t="s">
        <v>239</v>
      </c>
      <c r="E660" s="75">
        <v>51</v>
      </c>
      <c r="F660" s="75" t="s">
        <v>251</v>
      </c>
      <c r="G660" s="75" t="s">
        <v>258</v>
      </c>
      <c r="H660" s="75">
        <v>2</v>
      </c>
      <c r="I660" s="76">
        <v>2776</v>
      </c>
      <c r="J660" s="75" t="s">
        <v>256</v>
      </c>
      <c r="K660" s="77">
        <v>7</v>
      </c>
      <c r="L660" s="78" t="s">
        <v>263</v>
      </c>
      <c r="M660" s="75" t="s">
        <v>254</v>
      </c>
      <c r="N660" s="82">
        <v>971.59999999999991</v>
      </c>
    </row>
    <row r="661" spans="2:14" x14ac:dyDescent="0.25">
      <c r="B661" s="74" t="s">
        <v>929</v>
      </c>
      <c r="C661" s="75">
        <v>48629034</v>
      </c>
      <c r="D661" s="75" t="s">
        <v>254</v>
      </c>
      <c r="E661" s="75">
        <v>23</v>
      </c>
      <c r="F661" s="75" t="s">
        <v>255</v>
      </c>
      <c r="G661" s="75" t="s">
        <v>241</v>
      </c>
      <c r="H661" s="75">
        <v>3</v>
      </c>
      <c r="I661" s="76">
        <v>7501</v>
      </c>
      <c r="J661" s="75" t="s">
        <v>248</v>
      </c>
      <c r="K661" s="77">
        <v>7</v>
      </c>
      <c r="L661" s="78" t="s">
        <v>213</v>
      </c>
      <c r="M661" s="75" t="s">
        <v>254</v>
      </c>
      <c r="N661" s="82">
        <v>2625.3500000000004</v>
      </c>
    </row>
    <row r="662" spans="2:14" x14ac:dyDescent="0.25">
      <c r="B662" s="74" t="s">
        <v>930</v>
      </c>
      <c r="C662" s="75">
        <v>22129510</v>
      </c>
      <c r="D662" s="75" t="s">
        <v>254</v>
      </c>
      <c r="E662" s="75">
        <v>47</v>
      </c>
      <c r="F662" s="75" t="s">
        <v>251</v>
      </c>
      <c r="G662" s="75" t="s">
        <v>252</v>
      </c>
      <c r="H662" s="75">
        <v>0</v>
      </c>
      <c r="I662" s="76">
        <v>5291</v>
      </c>
      <c r="J662" s="75" t="s">
        <v>269</v>
      </c>
      <c r="K662" s="77">
        <v>7</v>
      </c>
      <c r="L662" s="78" t="s">
        <v>213</v>
      </c>
      <c r="M662" s="75" t="s">
        <v>254</v>
      </c>
      <c r="N662" s="82">
        <v>1851.85</v>
      </c>
    </row>
    <row r="663" spans="2:14" x14ac:dyDescent="0.25">
      <c r="B663" s="74" t="s">
        <v>931</v>
      </c>
      <c r="C663" s="75">
        <v>24836898</v>
      </c>
      <c r="D663" s="75" t="s">
        <v>254</v>
      </c>
      <c r="E663" s="75">
        <v>63</v>
      </c>
      <c r="F663" s="75" t="s">
        <v>240</v>
      </c>
      <c r="G663" s="75" t="s">
        <v>241</v>
      </c>
      <c r="H663" s="75">
        <v>1</v>
      </c>
      <c r="I663" s="76">
        <v>5263</v>
      </c>
      <c r="J663" s="75" t="s">
        <v>269</v>
      </c>
      <c r="K663" s="77">
        <v>7</v>
      </c>
      <c r="L663" s="78" t="s">
        <v>243</v>
      </c>
      <c r="M663" s="75" t="s">
        <v>254</v>
      </c>
      <c r="N663" s="82">
        <v>1842.0500000000002</v>
      </c>
    </row>
    <row r="664" spans="2:14" x14ac:dyDescent="0.25">
      <c r="B664" s="74" t="s">
        <v>932</v>
      </c>
      <c r="C664" s="75">
        <v>66873721</v>
      </c>
      <c r="D664" s="75" t="s">
        <v>239</v>
      </c>
      <c r="E664" s="75">
        <v>20</v>
      </c>
      <c r="F664" s="75" t="s">
        <v>255</v>
      </c>
      <c r="G664" s="75" t="s">
        <v>247</v>
      </c>
      <c r="H664" s="75">
        <v>3</v>
      </c>
      <c r="I664" s="76">
        <v>7811</v>
      </c>
      <c r="J664" s="75" t="s">
        <v>262</v>
      </c>
      <c r="K664" s="77">
        <v>7</v>
      </c>
      <c r="L664" s="78" t="s">
        <v>213</v>
      </c>
      <c r="M664" s="75" t="s">
        <v>254</v>
      </c>
      <c r="N664" s="82">
        <v>2733.85</v>
      </c>
    </row>
    <row r="665" spans="2:14" x14ac:dyDescent="0.25">
      <c r="B665" s="74" t="s">
        <v>933</v>
      </c>
      <c r="C665" s="75">
        <v>69288802</v>
      </c>
      <c r="D665" s="75" t="s">
        <v>254</v>
      </c>
      <c r="E665" s="75">
        <v>62</v>
      </c>
      <c r="F665" s="75" t="s">
        <v>246</v>
      </c>
      <c r="G665" s="75" t="s">
        <v>252</v>
      </c>
      <c r="H665" s="75">
        <v>3</v>
      </c>
      <c r="I665" s="76">
        <v>4742</v>
      </c>
      <c r="J665" s="75" t="s">
        <v>262</v>
      </c>
      <c r="K665" s="77">
        <v>7</v>
      </c>
      <c r="L665" s="78" t="s">
        <v>210</v>
      </c>
      <c r="M665" s="75" t="s">
        <v>254</v>
      </c>
      <c r="N665" s="82">
        <v>1659.7</v>
      </c>
    </row>
    <row r="666" spans="2:14" x14ac:dyDescent="0.25">
      <c r="B666" s="74" t="s">
        <v>934</v>
      </c>
      <c r="C666" s="75">
        <v>45143462</v>
      </c>
      <c r="D666" s="75" t="s">
        <v>254</v>
      </c>
      <c r="E666" s="75">
        <v>43</v>
      </c>
      <c r="F666" s="75" t="s">
        <v>246</v>
      </c>
      <c r="G666" s="75" t="s">
        <v>241</v>
      </c>
      <c r="H666" s="75">
        <v>4</v>
      </c>
      <c r="I666" s="76">
        <v>8702</v>
      </c>
      <c r="J666" s="75" t="s">
        <v>256</v>
      </c>
      <c r="K666" s="77">
        <v>7</v>
      </c>
      <c r="L666" s="78" t="s">
        <v>214</v>
      </c>
      <c r="M666" s="75" t="s">
        <v>254</v>
      </c>
      <c r="N666" s="82">
        <v>3045.7</v>
      </c>
    </row>
    <row r="667" spans="2:14" x14ac:dyDescent="0.25">
      <c r="B667" s="74" t="s">
        <v>935</v>
      </c>
      <c r="C667" s="75">
        <v>26551389</v>
      </c>
      <c r="D667" s="75" t="s">
        <v>239</v>
      </c>
      <c r="E667" s="75">
        <v>65</v>
      </c>
      <c r="F667" s="75" t="s">
        <v>255</v>
      </c>
      <c r="G667" s="75" t="s">
        <v>247</v>
      </c>
      <c r="H667" s="75">
        <v>2</v>
      </c>
      <c r="I667" s="76">
        <v>3088</v>
      </c>
      <c r="J667" s="75" t="s">
        <v>242</v>
      </c>
      <c r="K667" s="77">
        <v>7</v>
      </c>
      <c r="L667" s="78" t="s">
        <v>215</v>
      </c>
      <c r="M667" s="75" t="s">
        <v>254</v>
      </c>
      <c r="N667" s="82">
        <v>1080.8</v>
      </c>
    </row>
    <row r="668" spans="2:14" x14ac:dyDescent="0.25">
      <c r="B668" s="74" t="s">
        <v>936</v>
      </c>
      <c r="C668" s="75">
        <v>60459375</v>
      </c>
      <c r="D668" s="75" t="s">
        <v>254</v>
      </c>
      <c r="E668" s="75">
        <v>38</v>
      </c>
      <c r="F668" s="75" t="s">
        <v>251</v>
      </c>
      <c r="G668" s="75" t="s">
        <v>258</v>
      </c>
      <c r="H668" s="75">
        <v>3</v>
      </c>
      <c r="I668" s="76">
        <v>8384</v>
      </c>
      <c r="J668" s="75" t="s">
        <v>269</v>
      </c>
      <c r="K668" s="77">
        <v>6</v>
      </c>
      <c r="L668" s="78" t="s">
        <v>214</v>
      </c>
      <c r="M668" s="75" t="s">
        <v>254</v>
      </c>
      <c r="N668" s="82">
        <v>2515.2000000000003</v>
      </c>
    </row>
    <row r="669" spans="2:14" x14ac:dyDescent="0.25">
      <c r="B669" s="74" t="s">
        <v>937</v>
      </c>
      <c r="C669" s="75">
        <v>51981149</v>
      </c>
      <c r="D669" s="75" t="s">
        <v>254</v>
      </c>
      <c r="E669" s="75">
        <v>31</v>
      </c>
      <c r="F669" s="75" t="s">
        <v>240</v>
      </c>
      <c r="G669" s="75" t="s">
        <v>241</v>
      </c>
      <c r="H669" s="75">
        <v>2</v>
      </c>
      <c r="I669" s="76">
        <v>9815</v>
      </c>
      <c r="J669" s="75" t="s">
        <v>256</v>
      </c>
      <c r="K669" s="77">
        <v>6</v>
      </c>
      <c r="L669" s="78" t="s">
        <v>203</v>
      </c>
      <c r="M669" s="75" t="s">
        <v>254</v>
      </c>
      <c r="N669" s="82">
        <v>2944.5</v>
      </c>
    </row>
    <row r="670" spans="2:14" x14ac:dyDescent="0.25">
      <c r="B670" s="74" t="s">
        <v>938</v>
      </c>
      <c r="C670" s="75">
        <v>41383315</v>
      </c>
      <c r="D670" s="75" t="s">
        <v>239</v>
      </c>
      <c r="E670" s="75">
        <v>26</v>
      </c>
      <c r="F670" s="75" t="s">
        <v>240</v>
      </c>
      <c r="G670" s="75" t="s">
        <v>247</v>
      </c>
      <c r="H670" s="75">
        <v>0</v>
      </c>
      <c r="I670" s="76">
        <v>5110</v>
      </c>
      <c r="J670" s="75" t="s">
        <v>262</v>
      </c>
      <c r="K670" s="77">
        <v>6</v>
      </c>
      <c r="L670" s="78" t="s">
        <v>193</v>
      </c>
      <c r="M670" s="75" t="s">
        <v>254</v>
      </c>
      <c r="N670" s="82">
        <v>1533</v>
      </c>
    </row>
    <row r="671" spans="2:14" x14ac:dyDescent="0.25">
      <c r="B671" s="74" t="s">
        <v>939</v>
      </c>
      <c r="C671" s="75">
        <v>27316731</v>
      </c>
      <c r="D671" s="75" t="s">
        <v>239</v>
      </c>
      <c r="E671" s="75">
        <v>58</v>
      </c>
      <c r="F671" s="75" t="s">
        <v>240</v>
      </c>
      <c r="G671" s="75" t="s">
        <v>241</v>
      </c>
      <c r="H671" s="75">
        <v>3</v>
      </c>
      <c r="I671" s="76">
        <v>2162</v>
      </c>
      <c r="J671" s="75" t="s">
        <v>242</v>
      </c>
      <c r="K671" s="77">
        <v>6</v>
      </c>
      <c r="L671" s="78" t="s">
        <v>215</v>
      </c>
      <c r="M671" s="75" t="s">
        <v>254</v>
      </c>
      <c r="N671" s="82">
        <v>648.6</v>
      </c>
    </row>
    <row r="672" spans="2:14" x14ac:dyDescent="0.25">
      <c r="B672" s="74" t="s">
        <v>940</v>
      </c>
      <c r="C672" s="75">
        <v>60556358</v>
      </c>
      <c r="D672" s="75" t="s">
        <v>239</v>
      </c>
      <c r="E672" s="75">
        <v>42</v>
      </c>
      <c r="F672" s="75" t="s">
        <v>255</v>
      </c>
      <c r="G672" s="75" t="s">
        <v>258</v>
      </c>
      <c r="H672" s="75">
        <v>1</v>
      </c>
      <c r="I672" s="76">
        <v>6808</v>
      </c>
      <c r="J672" s="75" t="s">
        <v>256</v>
      </c>
      <c r="K672" s="77">
        <v>6</v>
      </c>
      <c r="L672" s="78" t="s">
        <v>212</v>
      </c>
      <c r="M672" s="75" t="s">
        <v>254</v>
      </c>
      <c r="N672" s="82">
        <v>2042.4</v>
      </c>
    </row>
    <row r="673" spans="2:14" x14ac:dyDescent="0.25">
      <c r="B673" s="74" t="s">
        <v>941</v>
      </c>
      <c r="C673" s="75">
        <v>32071693</v>
      </c>
      <c r="D673" s="75" t="s">
        <v>239</v>
      </c>
      <c r="E673" s="75">
        <v>35</v>
      </c>
      <c r="F673" s="75" t="s">
        <v>240</v>
      </c>
      <c r="G673" s="75" t="s">
        <v>252</v>
      </c>
      <c r="H673" s="75">
        <v>1</v>
      </c>
      <c r="I673" s="76">
        <v>2093</v>
      </c>
      <c r="J673" s="75" t="s">
        <v>256</v>
      </c>
      <c r="K673" s="77">
        <v>6</v>
      </c>
      <c r="L673" s="78" t="s">
        <v>213</v>
      </c>
      <c r="M673" s="75" t="s">
        <v>254</v>
      </c>
      <c r="N673" s="82">
        <v>627.9</v>
      </c>
    </row>
    <row r="674" spans="2:14" x14ac:dyDescent="0.25">
      <c r="B674" s="74" t="s">
        <v>942</v>
      </c>
      <c r="C674" s="75">
        <v>42365843</v>
      </c>
      <c r="D674" s="75" t="s">
        <v>254</v>
      </c>
      <c r="E674" s="75">
        <v>50</v>
      </c>
      <c r="F674" s="75" t="s">
        <v>251</v>
      </c>
      <c r="G674" s="75" t="s">
        <v>241</v>
      </c>
      <c r="H674" s="75">
        <v>4</v>
      </c>
      <c r="I674" s="76">
        <v>4491</v>
      </c>
      <c r="J674" s="75" t="s">
        <v>262</v>
      </c>
      <c r="K674" s="77">
        <v>6</v>
      </c>
      <c r="L674" s="78" t="s">
        <v>271</v>
      </c>
      <c r="M674" s="75" t="s">
        <v>254</v>
      </c>
      <c r="N674" s="82">
        <v>1347.3</v>
      </c>
    </row>
    <row r="675" spans="2:14" x14ac:dyDescent="0.25">
      <c r="B675" s="74" t="s">
        <v>943</v>
      </c>
      <c r="C675" s="75">
        <v>45687573</v>
      </c>
      <c r="D675" s="75" t="s">
        <v>254</v>
      </c>
      <c r="E675" s="75">
        <v>53</v>
      </c>
      <c r="F675" s="75" t="s">
        <v>251</v>
      </c>
      <c r="G675" s="75" t="s">
        <v>247</v>
      </c>
      <c r="H675" s="75">
        <v>0</v>
      </c>
      <c r="I675" s="76">
        <v>9650</v>
      </c>
      <c r="J675" s="75" t="s">
        <v>242</v>
      </c>
      <c r="K675" s="77">
        <v>6</v>
      </c>
      <c r="L675" s="78" t="s">
        <v>213</v>
      </c>
      <c r="M675" s="75" t="s">
        <v>254</v>
      </c>
      <c r="N675" s="82">
        <v>2895</v>
      </c>
    </row>
    <row r="676" spans="2:14" x14ac:dyDescent="0.25">
      <c r="B676" s="74" t="s">
        <v>944</v>
      </c>
      <c r="C676" s="75">
        <v>67061781</v>
      </c>
      <c r="D676" s="75" t="s">
        <v>239</v>
      </c>
      <c r="E676" s="75">
        <v>21</v>
      </c>
      <c r="F676" s="75" t="s">
        <v>255</v>
      </c>
      <c r="G676" s="75" t="s">
        <v>241</v>
      </c>
      <c r="H676" s="75">
        <v>2</v>
      </c>
      <c r="I676" s="76">
        <v>7804</v>
      </c>
      <c r="J676" s="75" t="s">
        <v>248</v>
      </c>
      <c r="K676" s="77">
        <v>6</v>
      </c>
      <c r="L676" s="78" t="s">
        <v>214</v>
      </c>
      <c r="M676" s="75" t="s">
        <v>254</v>
      </c>
      <c r="N676" s="82">
        <v>2341.1999999999998</v>
      </c>
    </row>
    <row r="677" spans="2:14" x14ac:dyDescent="0.25">
      <c r="B677" s="74" t="s">
        <v>945</v>
      </c>
      <c r="C677" s="75">
        <v>49040196</v>
      </c>
      <c r="D677" s="75" t="s">
        <v>239</v>
      </c>
      <c r="E677" s="75">
        <v>63</v>
      </c>
      <c r="F677" s="75" t="s">
        <v>251</v>
      </c>
      <c r="G677" s="75" t="s">
        <v>247</v>
      </c>
      <c r="H677" s="75">
        <v>2</v>
      </c>
      <c r="I677" s="76">
        <v>6913</v>
      </c>
      <c r="J677" s="75" t="s">
        <v>262</v>
      </c>
      <c r="K677" s="77">
        <v>6</v>
      </c>
      <c r="L677" s="78" t="s">
        <v>209</v>
      </c>
      <c r="M677" s="75" t="s">
        <v>254</v>
      </c>
      <c r="N677" s="82">
        <v>2073.8999999999996</v>
      </c>
    </row>
    <row r="678" spans="2:14" x14ac:dyDescent="0.25">
      <c r="B678" s="74" t="s">
        <v>946</v>
      </c>
      <c r="C678" s="75">
        <v>29485504</v>
      </c>
      <c r="D678" s="75" t="s">
        <v>254</v>
      </c>
      <c r="E678" s="75">
        <v>48</v>
      </c>
      <c r="F678" s="75" t="s">
        <v>251</v>
      </c>
      <c r="G678" s="75" t="s">
        <v>241</v>
      </c>
      <c r="H678" s="75">
        <v>3</v>
      </c>
      <c r="I678" s="76">
        <v>8678</v>
      </c>
      <c r="J678" s="75" t="s">
        <v>248</v>
      </c>
      <c r="K678" s="77">
        <v>6</v>
      </c>
      <c r="L678" s="78" t="s">
        <v>279</v>
      </c>
      <c r="M678" s="75" t="s">
        <v>254</v>
      </c>
      <c r="N678" s="82">
        <v>2603.3999999999996</v>
      </c>
    </row>
    <row r="679" spans="2:14" x14ac:dyDescent="0.25">
      <c r="B679" s="74" t="s">
        <v>947</v>
      </c>
      <c r="C679" s="75">
        <v>63310125</v>
      </c>
      <c r="D679" s="75" t="s">
        <v>254</v>
      </c>
      <c r="E679" s="75">
        <v>29</v>
      </c>
      <c r="F679" s="75" t="s">
        <v>246</v>
      </c>
      <c r="G679" s="75" t="s">
        <v>258</v>
      </c>
      <c r="H679" s="75">
        <v>1</v>
      </c>
      <c r="I679" s="76">
        <v>6996</v>
      </c>
      <c r="J679" s="75" t="s">
        <v>262</v>
      </c>
      <c r="K679" s="77">
        <v>5</v>
      </c>
      <c r="L679" s="78" t="s">
        <v>243</v>
      </c>
      <c r="M679" s="75" t="s">
        <v>254</v>
      </c>
      <c r="N679" s="82">
        <v>1749</v>
      </c>
    </row>
    <row r="680" spans="2:14" x14ac:dyDescent="0.25">
      <c r="B680" s="74" t="s">
        <v>948</v>
      </c>
      <c r="C680" s="75">
        <v>23443665</v>
      </c>
      <c r="D680" s="75" t="s">
        <v>254</v>
      </c>
      <c r="E680" s="75">
        <v>40</v>
      </c>
      <c r="F680" s="75" t="s">
        <v>251</v>
      </c>
      <c r="G680" s="75" t="s">
        <v>247</v>
      </c>
      <c r="H680" s="75">
        <v>1</v>
      </c>
      <c r="I680" s="76">
        <v>8818</v>
      </c>
      <c r="J680" s="75" t="s">
        <v>248</v>
      </c>
      <c r="K680" s="77">
        <v>5</v>
      </c>
      <c r="L680" s="78" t="s">
        <v>243</v>
      </c>
      <c r="M680" s="75" t="s">
        <v>254</v>
      </c>
      <c r="N680" s="82">
        <v>2204.5</v>
      </c>
    </row>
    <row r="681" spans="2:14" x14ac:dyDescent="0.25">
      <c r="B681" s="74" t="s">
        <v>949</v>
      </c>
      <c r="C681" s="75">
        <v>62814525</v>
      </c>
      <c r="D681" s="75" t="s">
        <v>239</v>
      </c>
      <c r="E681" s="75">
        <v>53</v>
      </c>
      <c r="F681" s="75" t="s">
        <v>240</v>
      </c>
      <c r="G681" s="75" t="s">
        <v>247</v>
      </c>
      <c r="H681" s="75">
        <v>1</v>
      </c>
      <c r="I681" s="76">
        <v>4253</v>
      </c>
      <c r="J681" s="75" t="s">
        <v>256</v>
      </c>
      <c r="K681" s="77">
        <v>5</v>
      </c>
      <c r="L681" s="78" t="s">
        <v>263</v>
      </c>
      <c r="M681" s="75" t="s">
        <v>254</v>
      </c>
      <c r="N681" s="82">
        <v>1063.25</v>
      </c>
    </row>
    <row r="682" spans="2:14" x14ac:dyDescent="0.25">
      <c r="B682" s="74" t="s">
        <v>950</v>
      </c>
      <c r="C682" s="75">
        <v>55766872</v>
      </c>
      <c r="D682" s="75" t="s">
        <v>239</v>
      </c>
      <c r="E682" s="75">
        <v>37</v>
      </c>
      <c r="F682" s="75" t="s">
        <v>255</v>
      </c>
      <c r="G682" s="75" t="s">
        <v>258</v>
      </c>
      <c r="H682" s="75">
        <v>1</v>
      </c>
      <c r="I682" s="76">
        <v>6556</v>
      </c>
      <c r="J682" s="75" t="s">
        <v>269</v>
      </c>
      <c r="K682" s="77">
        <v>5</v>
      </c>
      <c r="L682" s="78" t="s">
        <v>215</v>
      </c>
      <c r="M682" s="75" t="s">
        <v>254</v>
      </c>
      <c r="N682" s="82">
        <v>1639</v>
      </c>
    </row>
    <row r="683" spans="2:14" x14ac:dyDescent="0.25">
      <c r="B683" s="74" t="s">
        <v>951</v>
      </c>
      <c r="C683" s="75">
        <v>60949660</v>
      </c>
      <c r="D683" s="75" t="s">
        <v>254</v>
      </c>
      <c r="E683" s="75">
        <v>34</v>
      </c>
      <c r="F683" s="75" t="s">
        <v>251</v>
      </c>
      <c r="G683" s="75" t="s">
        <v>258</v>
      </c>
      <c r="H683" s="75">
        <v>1</v>
      </c>
      <c r="I683" s="76">
        <v>3170</v>
      </c>
      <c r="J683" s="75" t="s">
        <v>269</v>
      </c>
      <c r="K683" s="77">
        <v>5</v>
      </c>
      <c r="L683" s="78" t="s">
        <v>193</v>
      </c>
      <c r="M683" s="75" t="s">
        <v>254</v>
      </c>
      <c r="N683" s="82">
        <v>792.5</v>
      </c>
    </row>
    <row r="684" spans="2:14" x14ac:dyDescent="0.25">
      <c r="B684" s="74" t="s">
        <v>952</v>
      </c>
      <c r="C684" s="75">
        <v>60731917</v>
      </c>
      <c r="D684" s="75" t="s">
        <v>254</v>
      </c>
      <c r="E684" s="75">
        <v>60</v>
      </c>
      <c r="F684" s="75" t="s">
        <v>251</v>
      </c>
      <c r="G684" s="75" t="s">
        <v>258</v>
      </c>
      <c r="H684" s="75">
        <v>3</v>
      </c>
      <c r="I684" s="76">
        <v>6067</v>
      </c>
      <c r="J684" s="75" t="s">
        <v>269</v>
      </c>
      <c r="K684" s="77">
        <v>5</v>
      </c>
      <c r="L684" s="78" t="s">
        <v>193</v>
      </c>
      <c r="M684" s="75" t="s">
        <v>254</v>
      </c>
      <c r="N684" s="82">
        <v>1516.75</v>
      </c>
    </row>
    <row r="685" spans="2:14" x14ac:dyDescent="0.25">
      <c r="B685" s="74" t="s">
        <v>953</v>
      </c>
      <c r="C685" s="75">
        <v>26998770</v>
      </c>
      <c r="D685" s="75" t="s">
        <v>239</v>
      </c>
      <c r="E685" s="75">
        <v>45</v>
      </c>
      <c r="F685" s="75" t="s">
        <v>246</v>
      </c>
      <c r="G685" s="75" t="s">
        <v>252</v>
      </c>
      <c r="H685" s="75">
        <v>2</v>
      </c>
      <c r="I685" s="76">
        <v>9832</v>
      </c>
      <c r="J685" s="75" t="s">
        <v>248</v>
      </c>
      <c r="K685" s="77">
        <v>5</v>
      </c>
      <c r="L685" s="78" t="s">
        <v>215</v>
      </c>
      <c r="M685" s="75" t="s">
        <v>254</v>
      </c>
      <c r="N685" s="82">
        <v>2458</v>
      </c>
    </row>
    <row r="686" spans="2:14" x14ac:dyDescent="0.25">
      <c r="B686" s="74" t="s">
        <v>954</v>
      </c>
      <c r="C686" s="75">
        <v>54126519</v>
      </c>
      <c r="D686" s="75" t="s">
        <v>239</v>
      </c>
      <c r="E686" s="75">
        <v>20</v>
      </c>
      <c r="F686" s="75" t="s">
        <v>240</v>
      </c>
      <c r="G686" s="75" t="s">
        <v>258</v>
      </c>
      <c r="H686" s="75">
        <v>2</v>
      </c>
      <c r="I686" s="76">
        <v>4617</v>
      </c>
      <c r="J686" s="75" t="s">
        <v>248</v>
      </c>
      <c r="K686" s="77">
        <v>5</v>
      </c>
      <c r="L686" s="78" t="s">
        <v>213</v>
      </c>
      <c r="M686" s="75" t="s">
        <v>254</v>
      </c>
      <c r="N686" s="82">
        <v>1154.25</v>
      </c>
    </row>
    <row r="687" spans="2:14" x14ac:dyDescent="0.25">
      <c r="B687" s="74" t="s">
        <v>955</v>
      </c>
      <c r="C687" s="75">
        <v>41702208</v>
      </c>
      <c r="D687" s="75" t="s">
        <v>239</v>
      </c>
      <c r="E687" s="75">
        <v>56</v>
      </c>
      <c r="F687" s="75" t="s">
        <v>240</v>
      </c>
      <c r="G687" s="75" t="s">
        <v>247</v>
      </c>
      <c r="H687" s="75">
        <v>2</v>
      </c>
      <c r="I687" s="76">
        <v>7375</v>
      </c>
      <c r="J687" s="75" t="s">
        <v>269</v>
      </c>
      <c r="K687" s="77">
        <v>5</v>
      </c>
      <c r="L687" s="78" t="s">
        <v>243</v>
      </c>
      <c r="M687" s="75" t="s">
        <v>254</v>
      </c>
      <c r="N687" s="82">
        <v>1843.75</v>
      </c>
    </row>
    <row r="688" spans="2:14" x14ac:dyDescent="0.25">
      <c r="B688" s="74" t="s">
        <v>956</v>
      </c>
      <c r="C688" s="75">
        <v>41578505</v>
      </c>
      <c r="D688" s="75" t="s">
        <v>254</v>
      </c>
      <c r="E688" s="75">
        <v>26</v>
      </c>
      <c r="F688" s="75" t="s">
        <v>246</v>
      </c>
      <c r="G688" s="75" t="s">
        <v>258</v>
      </c>
      <c r="H688" s="75">
        <v>2</v>
      </c>
      <c r="I688" s="76">
        <v>4582</v>
      </c>
      <c r="J688" s="75" t="s">
        <v>262</v>
      </c>
      <c r="K688" s="77">
        <v>5</v>
      </c>
      <c r="L688" s="78" t="s">
        <v>212</v>
      </c>
      <c r="M688" s="75" t="s">
        <v>254</v>
      </c>
      <c r="N688" s="82">
        <v>1145.5</v>
      </c>
    </row>
    <row r="689" spans="2:14" x14ac:dyDescent="0.25">
      <c r="B689" s="74" t="s">
        <v>957</v>
      </c>
      <c r="C689" s="75">
        <v>62550085</v>
      </c>
      <c r="D689" s="75" t="s">
        <v>254</v>
      </c>
      <c r="E689" s="75">
        <v>23</v>
      </c>
      <c r="F689" s="75" t="s">
        <v>251</v>
      </c>
      <c r="G689" s="75" t="s">
        <v>252</v>
      </c>
      <c r="H689" s="75">
        <v>1</v>
      </c>
      <c r="I689" s="76">
        <v>2964</v>
      </c>
      <c r="J689" s="75" t="s">
        <v>262</v>
      </c>
      <c r="K689" s="77">
        <v>4</v>
      </c>
      <c r="L689" s="78" t="s">
        <v>193</v>
      </c>
      <c r="M689" s="75" t="s">
        <v>254</v>
      </c>
      <c r="N689" s="82">
        <v>592.79999999999995</v>
      </c>
    </row>
    <row r="690" spans="2:14" x14ac:dyDescent="0.25">
      <c r="B690" s="74" t="s">
        <v>958</v>
      </c>
      <c r="C690" s="75">
        <v>54608951</v>
      </c>
      <c r="D690" s="75" t="s">
        <v>254</v>
      </c>
      <c r="E690" s="75">
        <v>58</v>
      </c>
      <c r="F690" s="75" t="s">
        <v>255</v>
      </c>
      <c r="G690" s="75" t="s">
        <v>241</v>
      </c>
      <c r="H690" s="75">
        <v>4</v>
      </c>
      <c r="I690" s="76">
        <v>6944</v>
      </c>
      <c r="J690" s="75" t="s">
        <v>256</v>
      </c>
      <c r="K690" s="77">
        <v>4</v>
      </c>
      <c r="L690" s="78" t="s">
        <v>215</v>
      </c>
      <c r="M690" s="75" t="s">
        <v>254</v>
      </c>
      <c r="N690" s="82">
        <v>1388.8</v>
      </c>
    </row>
    <row r="691" spans="2:14" x14ac:dyDescent="0.25">
      <c r="B691" s="74" t="s">
        <v>959</v>
      </c>
      <c r="C691" s="75">
        <v>54217977</v>
      </c>
      <c r="D691" s="75" t="s">
        <v>254</v>
      </c>
      <c r="E691" s="75">
        <v>22</v>
      </c>
      <c r="F691" s="75" t="s">
        <v>255</v>
      </c>
      <c r="G691" s="75" t="s">
        <v>252</v>
      </c>
      <c r="H691" s="75">
        <v>2</v>
      </c>
      <c r="I691" s="76">
        <v>7887</v>
      </c>
      <c r="J691" s="75" t="s">
        <v>248</v>
      </c>
      <c r="K691" s="77">
        <v>4</v>
      </c>
      <c r="L691" s="78" t="s">
        <v>210</v>
      </c>
      <c r="M691" s="75" t="s">
        <v>254</v>
      </c>
      <c r="N691" s="82">
        <v>1577.4</v>
      </c>
    </row>
    <row r="692" spans="2:14" x14ac:dyDescent="0.25">
      <c r="B692" s="74" t="s">
        <v>960</v>
      </c>
      <c r="C692" s="75">
        <v>24106847</v>
      </c>
      <c r="D692" s="75" t="s">
        <v>254</v>
      </c>
      <c r="E692" s="75">
        <v>30</v>
      </c>
      <c r="F692" s="75" t="s">
        <v>240</v>
      </c>
      <c r="G692" s="75" t="s">
        <v>241</v>
      </c>
      <c r="H692" s="75">
        <v>1</v>
      </c>
      <c r="I692" s="76">
        <v>9252</v>
      </c>
      <c r="J692" s="75" t="s">
        <v>269</v>
      </c>
      <c r="K692" s="77">
        <v>4</v>
      </c>
      <c r="L692" s="78" t="s">
        <v>263</v>
      </c>
      <c r="M692" s="75" t="s">
        <v>254</v>
      </c>
      <c r="N692" s="82">
        <v>1850.3999999999999</v>
      </c>
    </row>
    <row r="693" spans="2:14" x14ac:dyDescent="0.25">
      <c r="B693" s="74" t="s">
        <v>961</v>
      </c>
      <c r="C693" s="75">
        <v>40774969</v>
      </c>
      <c r="D693" s="75" t="s">
        <v>254</v>
      </c>
      <c r="E693" s="75">
        <v>58</v>
      </c>
      <c r="F693" s="75" t="s">
        <v>246</v>
      </c>
      <c r="G693" s="75" t="s">
        <v>241</v>
      </c>
      <c r="H693" s="75">
        <v>4</v>
      </c>
      <c r="I693" s="76">
        <v>8896</v>
      </c>
      <c r="J693" s="75" t="s">
        <v>248</v>
      </c>
      <c r="K693" s="77">
        <v>4</v>
      </c>
      <c r="L693" s="78" t="s">
        <v>210</v>
      </c>
      <c r="M693" s="75" t="s">
        <v>254</v>
      </c>
      <c r="N693" s="82">
        <v>1779.1999999999998</v>
      </c>
    </row>
    <row r="694" spans="2:14" x14ac:dyDescent="0.25">
      <c r="B694" s="74" t="s">
        <v>962</v>
      </c>
      <c r="C694" s="75">
        <v>34436974</v>
      </c>
      <c r="D694" s="75" t="s">
        <v>254</v>
      </c>
      <c r="E694" s="75">
        <v>33</v>
      </c>
      <c r="F694" s="75" t="s">
        <v>246</v>
      </c>
      <c r="G694" s="75" t="s">
        <v>247</v>
      </c>
      <c r="H694" s="75">
        <v>2</v>
      </c>
      <c r="I694" s="76">
        <v>2706</v>
      </c>
      <c r="J694" s="75" t="s">
        <v>256</v>
      </c>
      <c r="K694" s="77">
        <v>4</v>
      </c>
      <c r="L694" s="78" t="s">
        <v>209</v>
      </c>
      <c r="M694" s="75" t="s">
        <v>254</v>
      </c>
      <c r="N694" s="82">
        <v>541.19999999999993</v>
      </c>
    </row>
    <row r="695" spans="2:14" x14ac:dyDescent="0.25">
      <c r="B695" s="74" t="s">
        <v>963</v>
      </c>
      <c r="C695" s="75">
        <v>39967437</v>
      </c>
      <c r="D695" s="75" t="s">
        <v>254</v>
      </c>
      <c r="E695" s="75">
        <v>38</v>
      </c>
      <c r="F695" s="75" t="s">
        <v>246</v>
      </c>
      <c r="G695" s="75" t="s">
        <v>241</v>
      </c>
      <c r="H695" s="75">
        <v>4</v>
      </c>
      <c r="I695" s="76">
        <v>2368</v>
      </c>
      <c r="J695" s="75" t="s">
        <v>256</v>
      </c>
      <c r="K695" s="77">
        <v>4</v>
      </c>
      <c r="L695" s="78" t="s">
        <v>203</v>
      </c>
      <c r="M695" s="75" t="s">
        <v>254</v>
      </c>
      <c r="N695" s="82">
        <v>473.6</v>
      </c>
    </row>
    <row r="696" spans="2:14" x14ac:dyDescent="0.25">
      <c r="B696" s="74" t="s">
        <v>964</v>
      </c>
      <c r="C696" s="75">
        <v>29807642</v>
      </c>
      <c r="D696" s="75" t="s">
        <v>254</v>
      </c>
      <c r="E696" s="75">
        <v>52</v>
      </c>
      <c r="F696" s="75" t="s">
        <v>246</v>
      </c>
      <c r="G696" s="75" t="s">
        <v>252</v>
      </c>
      <c r="H696" s="75">
        <v>1</v>
      </c>
      <c r="I696" s="76">
        <v>7727</v>
      </c>
      <c r="J696" s="75" t="s">
        <v>262</v>
      </c>
      <c r="K696" s="77">
        <v>4</v>
      </c>
      <c r="L696" s="78" t="s">
        <v>213</v>
      </c>
      <c r="M696" s="75" t="s">
        <v>254</v>
      </c>
      <c r="N696" s="82">
        <v>1545.3999999999999</v>
      </c>
    </row>
    <row r="697" spans="2:14" x14ac:dyDescent="0.25">
      <c r="B697" s="74" t="s">
        <v>965</v>
      </c>
      <c r="C697" s="75">
        <v>27374686</v>
      </c>
      <c r="D697" s="75" t="s">
        <v>239</v>
      </c>
      <c r="E697" s="75">
        <v>26</v>
      </c>
      <c r="F697" s="75" t="s">
        <v>246</v>
      </c>
      <c r="G697" s="75" t="s">
        <v>241</v>
      </c>
      <c r="H697" s="75">
        <v>2</v>
      </c>
      <c r="I697" s="76">
        <v>8118</v>
      </c>
      <c r="J697" s="75" t="s">
        <v>269</v>
      </c>
      <c r="K697" s="77">
        <v>4</v>
      </c>
      <c r="L697" s="78" t="s">
        <v>203</v>
      </c>
      <c r="M697" s="75" t="s">
        <v>254</v>
      </c>
      <c r="N697" s="82">
        <v>1623.6000000000001</v>
      </c>
    </row>
    <row r="698" spans="2:14" x14ac:dyDescent="0.25">
      <c r="B698" s="74" t="s">
        <v>966</v>
      </c>
      <c r="C698" s="75">
        <v>38154622</v>
      </c>
      <c r="D698" s="75" t="s">
        <v>239</v>
      </c>
      <c r="E698" s="75">
        <v>29</v>
      </c>
      <c r="F698" s="75" t="s">
        <v>240</v>
      </c>
      <c r="G698" s="75" t="s">
        <v>252</v>
      </c>
      <c r="H698" s="75">
        <v>3</v>
      </c>
      <c r="I698" s="76">
        <v>7920</v>
      </c>
      <c r="J698" s="75" t="s">
        <v>242</v>
      </c>
      <c r="K698" s="77">
        <v>4</v>
      </c>
      <c r="L698" s="78" t="s">
        <v>193</v>
      </c>
      <c r="M698" s="75" t="s">
        <v>254</v>
      </c>
      <c r="N698" s="82">
        <v>1584</v>
      </c>
    </row>
    <row r="699" spans="2:14" x14ac:dyDescent="0.25">
      <c r="B699" s="74" t="s">
        <v>967</v>
      </c>
      <c r="C699" s="75">
        <v>53438808</v>
      </c>
      <c r="D699" s="75" t="s">
        <v>254</v>
      </c>
      <c r="E699" s="75">
        <v>31</v>
      </c>
      <c r="F699" s="75" t="s">
        <v>246</v>
      </c>
      <c r="G699" s="75" t="s">
        <v>258</v>
      </c>
      <c r="H699" s="75">
        <v>2</v>
      </c>
      <c r="I699" s="76">
        <v>9591</v>
      </c>
      <c r="J699" s="75" t="s">
        <v>256</v>
      </c>
      <c r="K699" s="77">
        <v>3</v>
      </c>
      <c r="L699" s="78" t="s">
        <v>209</v>
      </c>
      <c r="M699" s="75" t="s">
        <v>254</v>
      </c>
      <c r="N699" s="82">
        <v>1438.65</v>
      </c>
    </row>
    <row r="700" spans="2:14" x14ac:dyDescent="0.25">
      <c r="B700" s="74" t="s">
        <v>968</v>
      </c>
      <c r="C700" s="75">
        <v>69668321</v>
      </c>
      <c r="D700" s="75" t="s">
        <v>254</v>
      </c>
      <c r="E700" s="75">
        <v>41</v>
      </c>
      <c r="F700" s="75" t="s">
        <v>246</v>
      </c>
      <c r="G700" s="75" t="s">
        <v>258</v>
      </c>
      <c r="H700" s="75">
        <v>1</v>
      </c>
      <c r="I700" s="76">
        <v>5676</v>
      </c>
      <c r="J700" s="75" t="s">
        <v>256</v>
      </c>
      <c r="K700" s="77">
        <v>3</v>
      </c>
      <c r="L700" s="78" t="s">
        <v>209</v>
      </c>
      <c r="M700" s="75" t="s">
        <v>254</v>
      </c>
      <c r="N700" s="82">
        <v>851.4</v>
      </c>
    </row>
    <row r="701" spans="2:14" x14ac:dyDescent="0.25">
      <c r="B701" s="74" t="s">
        <v>969</v>
      </c>
      <c r="C701" s="75">
        <v>31288808</v>
      </c>
      <c r="D701" s="75" t="s">
        <v>254</v>
      </c>
      <c r="E701" s="75">
        <v>28</v>
      </c>
      <c r="F701" s="75" t="s">
        <v>240</v>
      </c>
      <c r="G701" s="75" t="s">
        <v>247</v>
      </c>
      <c r="H701" s="75">
        <v>1</v>
      </c>
      <c r="I701" s="76">
        <v>8618</v>
      </c>
      <c r="J701" s="75" t="s">
        <v>256</v>
      </c>
      <c r="K701" s="77">
        <v>3</v>
      </c>
      <c r="L701" s="78" t="s">
        <v>215</v>
      </c>
      <c r="M701" s="75" t="s">
        <v>254</v>
      </c>
      <c r="N701" s="82">
        <v>1292.7</v>
      </c>
    </row>
    <row r="702" spans="2:14" x14ac:dyDescent="0.25">
      <c r="B702" s="74" t="s">
        <v>970</v>
      </c>
      <c r="C702" s="75">
        <v>63646078</v>
      </c>
      <c r="D702" s="75" t="s">
        <v>239</v>
      </c>
      <c r="E702" s="75">
        <v>31</v>
      </c>
      <c r="F702" s="75" t="s">
        <v>240</v>
      </c>
      <c r="G702" s="75" t="s">
        <v>247</v>
      </c>
      <c r="H702" s="75">
        <v>0</v>
      </c>
      <c r="I702" s="76">
        <v>6371</v>
      </c>
      <c r="J702" s="75" t="s">
        <v>262</v>
      </c>
      <c r="K702" s="77">
        <v>3</v>
      </c>
      <c r="L702" s="78" t="s">
        <v>203</v>
      </c>
      <c r="M702" s="75" t="s">
        <v>254</v>
      </c>
      <c r="N702" s="82">
        <v>955.65</v>
      </c>
    </row>
    <row r="703" spans="2:14" x14ac:dyDescent="0.25">
      <c r="B703" s="74" t="s">
        <v>971</v>
      </c>
      <c r="C703" s="75">
        <v>58574808</v>
      </c>
      <c r="D703" s="75" t="s">
        <v>239</v>
      </c>
      <c r="E703" s="75">
        <v>49</v>
      </c>
      <c r="F703" s="75" t="s">
        <v>246</v>
      </c>
      <c r="G703" s="75" t="s">
        <v>258</v>
      </c>
      <c r="H703" s="75">
        <v>1</v>
      </c>
      <c r="I703" s="76">
        <v>4019</v>
      </c>
      <c r="J703" s="75" t="s">
        <v>262</v>
      </c>
      <c r="K703" s="77">
        <v>3</v>
      </c>
      <c r="L703" s="78" t="s">
        <v>271</v>
      </c>
      <c r="M703" s="75" t="s">
        <v>254</v>
      </c>
      <c r="N703" s="82">
        <v>602.84999999999991</v>
      </c>
    </row>
    <row r="704" spans="2:14" x14ac:dyDescent="0.25">
      <c r="B704" s="74" t="s">
        <v>972</v>
      </c>
      <c r="C704" s="75">
        <v>37556993</v>
      </c>
      <c r="D704" s="75" t="s">
        <v>239</v>
      </c>
      <c r="E704" s="75">
        <v>21</v>
      </c>
      <c r="F704" s="75" t="s">
        <v>240</v>
      </c>
      <c r="G704" s="75" t="s">
        <v>241</v>
      </c>
      <c r="H704" s="75">
        <v>0</v>
      </c>
      <c r="I704" s="76">
        <v>3488</v>
      </c>
      <c r="J704" s="75" t="s">
        <v>242</v>
      </c>
      <c r="K704" s="77">
        <v>3</v>
      </c>
      <c r="L704" s="78" t="s">
        <v>193</v>
      </c>
      <c r="M704" s="75" t="s">
        <v>254</v>
      </c>
      <c r="N704" s="82">
        <v>523.20000000000005</v>
      </c>
    </row>
    <row r="705" spans="2:14" x14ac:dyDescent="0.25">
      <c r="B705" s="74" t="s">
        <v>973</v>
      </c>
      <c r="C705" s="75">
        <v>43719421</v>
      </c>
      <c r="D705" s="75" t="s">
        <v>254</v>
      </c>
      <c r="E705" s="75">
        <v>19</v>
      </c>
      <c r="F705" s="75" t="s">
        <v>255</v>
      </c>
      <c r="G705" s="75" t="s">
        <v>258</v>
      </c>
      <c r="H705" s="75">
        <v>2</v>
      </c>
      <c r="I705" s="76">
        <v>3816</v>
      </c>
      <c r="J705" s="75" t="s">
        <v>248</v>
      </c>
      <c r="K705" s="77">
        <v>3</v>
      </c>
      <c r="L705" s="78" t="s">
        <v>243</v>
      </c>
      <c r="M705" s="75" t="s">
        <v>254</v>
      </c>
      <c r="N705" s="82">
        <v>572.4</v>
      </c>
    </row>
    <row r="706" spans="2:14" x14ac:dyDescent="0.25">
      <c r="B706" s="74" t="s">
        <v>974</v>
      </c>
      <c r="C706" s="75">
        <v>57444568</v>
      </c>
      <c r="D706" s="75" t="s">
        <v>254</v>
      </c>
      <c r="E706" s="75">
        <v>26</v>
      </c>
      <c r="F706" s="75" t="s">
        <v>251</v>
      </c>
      <c r="G706" s="75" t="s">
        <v>252</v>
      </c>
      <c r="H706" s="75">
        <v>4</v>
      </c>
      <c r="I706" s="76">
        <v>7767</v>
      </c>
      <c r="J706" s="75" t="s">
        <v>256</v>
      </c>
      <c r="K706" s="77">
        <v>3</v>
      </c>
      <c r="L706" s="78" t="s">
        <v>212</v>
      </c>
      <c r="M706" s="75" t="s">
        <v>254</v>
      </c>
      <c r="N706" s="82">
        <v>1165.05</v>
      </c>
    </row>
    <row r="707" spans="2:14" x14ac:dyDescent="0.25">
      <c r="B707" s="74" t="s">
        <v>975</v>
      </c>
      <c r="C707" s="75">
        <v>56730651</v>
      </c>
      <c r="D707" s="75" t="s">
        <v>254</v>
      </c>
      <c r="E707" s="75">
        <v>22</v>
      </c>
      <c r="F707" s="75" t="s">
        <v>251</v>
      </c>
      <c r="G707" s="75" t="s">
        <v>247</v>
      </c>
      <c r="H707" s="75">
        <v>1</v>
      </c>
      <c r="I707" s="76">
        <v>7194</v>
      </c>
      <c r="J707" s="75" t="s">
        <v>242</v>
      </c>
      <c r="K707" s="77">
        <v>3</v>
      </c>
      <c r="L707" s="78" t="s">
        <v>209</v>
      </c>
      <c r="M707" s="75" t="s">
        <v>254</v>
      </c>
      <c r="N707" s="82">
        <v>1079.0999999999999</v>
      </c>
    </row>
    <row r="708" spans="2:14" x14ac:dyDescent="0.25">
      <c r="B708" s="74" t="s">
        <v>976</v>
      </c>
      <c r="C708" s="75">
        <v>48719319</v>
      </c>
      <c r="D708" s="75" t="s">
        <v>254</v>
      </c>
      <c r="E708" s="75">
        <v>22</v>
      </c>
      <c r="F708" s="75" t="s">
        <v>251</v>
      </c>
      <c r="G708" s="75" t="s">
        <v>247</v>
      </c>
      <c r="H708" s="75">
        <v>2</v>
      </c>
      <c r="I708" s="76">
        <v>7539</v>
      </c>
      <c r="J708" s="75" t="s">
        <v>262</v>
      </c>
      <c r="K708" s="77">
        <v>3</v>
      </c>
      <c r="L708" s="78" t="s">
        <v>210</v>
      </c>
      <c r="M708" s="75" t="s">
        <v>254</v>
      </c>
      <c r="N708" s="82">
        <v>1130.8499999999999</v>
      </c>
    </row>
    <row r="709" spans="2:14" x14ac:dyDescent="0.25">
      <c r="B709" s="74" t="s">
        <v>977</v>
      </c>
      <c r="C709" s="75">
        <v>53365247</v>
      </c>
      <c r="D709" s="75" t="s">
        <v>254</v>
      </c>
      <c r="E709" s="75">
        <v>23</v>
      </c>
      <c r="F709" s="75" t="s">
        <v>255</v>
      </c>
      <c r="G709" s="75" t="s">
        <v>252</v>
      </c>
      <c r="H709" s="75">
        <v>1</v>
      </c>
      <c r="I709" s="76">
        <v>9645</v>
      </c>
      <c r="J709" s="75" t="s">
        <v>269</v>
      </c>
      <c r="K709" s="77">
        <v>3</v>
      </c>
      <c r="L709" s="78" t="s">
        <v>214</v>
      </c>
      <c r="M709" s="75" t="s">
        <v>254</v>
      </c>
      <c r="N709" s="82">
        <v>1446.75</v>
      </c>
    </row>
    <row r="710" spans="2:14" x14ac:dyDescent="0.25">
      <c r="B710" s="74" t="s">
        <v>978</v>
      </c>
      <c r="C710" s="75">
        <v>29320955</v>
      </c>
      <c r="D710" s="75" t="s">
        <v>239</v>
      </c>
      <c r="E710" s="75">
        <v>39</v>
      </c>
      <c r="F710" s="75" t="s">
        <v>251</v>
      </c>
      <c r="G710" s="75" t="s">
        <v>252</v>
      </c>
      <c r="H710" s="75">
        <v>2</v>
      </c>
      <c r="I710" s="76">
        <v>4386</v>
      </c>
      <c r="J710" s="75" t="s">
        <v>269</v>
      </c>
      <c r="K710" s="77">
        <v>3</v>
      </c>
      <c r="L710" s="78" t="s">
        <v>263</v>
      </c>
      <c r="M710" s="75" t="s">
        <v>254</v>
      </c>
      <c r="N710" s="82">
        <v>657.90000000000009</v>
      </c>
    </row>
    <row r="711" spans="2:14" x14ac:dyDescent="0.25">
      <c r="B711" s="74" t="s">
        <v>979</v>
      </c>
      <c r="C711" s="75">
        <v>21765510</v>
      </c>
      <c r="D711" s="75" t="s">
        <v>254</v>
      </c>
      <c r="E711" s="75">
        <v>37</v>
      </c>
      <c r="F711" s="75" t="s">
        <v>240</v>
      </c>
      <c r="G711" s="75" t="s">
        <v>258</v>
      </c>
      <c r="H711" s="75">
        <v>2</v>
      </c>
      <c r="I711" s="76">
        <v>2327</v>
      </c>
      <c r="J711" s="75" t="s">
        <v>269</v>
      </c>
      <c r="K711" s="77">
        <v>3</v>
      </c>
      <c r="L711" s="78" t="s">
        <v>193</v>
      </c>
      <c r="M711" s="75" t="s">
        <v>254</v>
      </c>
      <c r="N711" s="82">
        <v>349.05</v>
      </c>
    </row>
    <row r="712" spans="2:14" x14ac:dyDescent="0.25">
      <c r="B712" s="74" t="s">
        <v>980</v>
      </c>
      <c r="C712" s="75">
        <v>55911617</v>
      </c>
      <c r="D712" s="75" t="s">
        <v>239</v>
      </c>
      <c r="E712" s="75">
        <v>55</v>
      </c>
      <c r="F712" s="75" t="s">
        <v>240</v>
      </c>
      <c r="G712" s="75" t="s">
        <v>258</v>
      </c>
      <c r="H712" s="75">
        <v>1</v>
      </c>
      <c r="I712" s="76">
        <v>3406</v>
      </c>
      <c r="J712" s="75" t="s">
        <v>256</v>
      </c>
      <c r="K712" s="77">
        <v>3</v>
      </c>
      <c r="L712" s="78" t="s">
        <v>213</v>
      </c>
      <c r="M712" s="75" t="s">
        <v>254</v>
      </c>
      <c r="N712" s="82">
        <v>510.90000000000003</v>
      </c>
    </row>
    <row r="713" spans="2:14" x14ac:dyDescent="0.25">
      <c r="B713" s="74" t="s">
        <v>981</v>
      </c>
      <c r="C713" s="75">
        <v>37060381</v>
      </c>
      <c r="D713" s="75" t="s">
        <v>239</v>
      </c>
      <c r="E713" s="75">
        <v>45</v>
      </c>
      <c r="F713" s="75" t="s">
        <v>240</v>
      </c>
      <c r="G713" s="75" t="s">
        <v>252</v>
      </c>
      <c r="H713" s="75">
        <v>4</v>
      </c>
      <c r="I713" s="76">
        <v>5899</v>
      </c>
      <c r="J713" s="75" t="s">
        <v>262</v>
      </c>
      <c r="K713" s="77">
        <v>3</v>
      </c>
      <c r="L713" s="78" t="s">
        <v>193</v>
      </c>
      <c r="M713" s="75" t="s">
        <v>254</v>
      </c>
      <c r="N713" s="82">
        <v>884.85</v>
      </c>
    </row>
    <row r="714" spans="2:14" x14ac:dyDescent="0.25">
      <c r="B714" s="74" t="s">
        <v>982</v>
      </c>
      <c r="C714" s="75">
        <v>60161972</v>
      </c>
      <c r="D714" s="75" t="s">
        <v>239</v>
      </c>
      <c r="E714" s="75">
        <v>21</v>
      </c>
      <c r="F714" s="75" t="s">
        <v>251</v>
      </c>
      <c r="G714" s="75" t="s">
        <v>252</v>
      </c>
      <c r="H714" s="75">
        <v>3</v>
      </c>
      <c r="I714" s="76">
        <v>5650</v>
      </c>
      <c r="J714" s="75" t="s">
        <v>269</v>
      </c>
      <c r="K714" s="77">
        <v>3</v>
      </c>
      <c r="L714" s="78" t="s">
        <v>271</v>
      </c>
      <c r="M714" s="75" t="s">
        <v>254</v>
      </c>
      <c r="N714" s="82">
        <v>847.5</v>
      </c>
    </row>
    <row r="715" spans="2:14" x14ac:dyDescent="0.25">
      <c r="B715" s="74" t="s">
        <v>983</v>
      </c>
      <c r="C715" s="75">
        <v>57429996</v>
      </c>
      <c r="D715" s="75" t="s">
        <v>239</v>
      </c>
      <c r="E715" s="75">
        <v>58</v>
      </c>
      <c r="F715" s="75" t="s">
        <v>251</v>
      </c>
      <c r="G715" s="75" t="s">
        <v>258</v>
      </c>
      <c r="H715" s="75">
        <v>1</v>
      </c>
      <c r="I715" s="76">
        <v>4896</v>
      </c>
      <c r="J715" s="75" t="s">
        <v>269</v>
      </c>
      <c r="K715" s="77">
        <v>3</v>
      </c>
      <c r="L715" s="78" t="s">
        <v>213</v>
      </c>
      <c r="M715" s="75" t="s">
        <v>254</v>
      </c>
      <c r="N715" s="82">
        <v>734.4</v>
      </c>
    </row>
    <row r="716" spans="2:14" x14ac:dyDescent="0.25">
      <c r="B716" s="74" t="s">
        <v>984</v>
      </c>
      <c r="C716" s="75">
        <v>65814935</v>
      </c>
      <c r="D716" s="75" t="s">
        <v>254</v>
      </c>
      <c r="E716" s="75">
        <v>64</v>
      </c>
      <c r="F716" s="75" t="s">
        <v>251</v>
      </c>
      <c r="G716" s="75" t="s">
        <v>258</v>
      </c>
      <c r="H716" s="75">
        <v>2</v>
      </c>
      <c r="I716" s="76">
        <v>3294</v>
      </c>
      <c r="J716" s="75" t="s">
        <v>269</v>
      </c>
      <c r="K716" s="77">
        <v>3</v>
      </c>
      <c r="L716" s="78" t="s">
        <v>243</v>
      </c>
      <c r="M716" s="75" t="s">
        <v>254</v>
      </c>
      <c r="N716" s="82">
        <v>494.09999999999997</v>
      </c>
    </row>
    <row r="717" spans="2:14" x14ac:dyDescent="0.25">
      <c r="B717" s="74" t="s">
        <v>985</v>
      </c>
      <c r="C717" s="75">
        <v>70474247</v>
      </c>
      <c r="D717" s="75" t="s">
        <v>254</v>
      </c>
      <c r="E717" s="75">
        <v>35</v>
      </c>
      <c r="F717" s="75" t="s">
        <v>251</v>
      </c>
      <c r="G717" s="75" t="s">
        <v>241</v>
      </c>
      <c r="H717" s="75">
        <v>1</v>
      </c>
      <c r="I717" s="76">
        <v>7103</v>
      </c>
      <c r="J717" s="75" t="s">
        <v>256</v>
      </c>
      <c r="K717" s="77">
        <v>2</v>
      </c>
      <c r="L717" s="78" t="s">
        <v>271</v>
      </c>
      <c r="M717" s="75" t="s">
        <v>254</v>
      </c>
      <c r="N717" s="82">
        <v>710.3</v>
      </c>
    </row>
    <row r="718" spans="2:14" x14ac:dyDescent="0.25">
      <c r="B718" s="74" t="s">
        <v>986</v>
      </c>
      <c r="C718" s="75">
        <v>39764869</v>
      </c>
      <c r="D718" s="75" t="s">
        <v>254</v>
      </c>
      <c r="E718" s="75">
        <v>30</v>
      </c>
      <c r="F718" s="75" t="s">
        <v>240</v>
      </c>
      <c r="G718" s="75" t="s">
        <v>241</v>
      </c>
      <c r="H718" s="75">
        <v>1</v>
      </c>
      <c r="I718" s="76">
        <v>9622</v>
      </c>
      <c r="J718" s="75" t="s">
        <v>269</v>
      </c>
      <c r="K718" s="77">
        <v>2</v>
      </c>
      <c r="L718" s="78" t="s">
        <v>193</v>
      </c>
      <c r="M718" s="75" t="s">
        <v>254</v>
      </c>
      <c r="N718" s="82">
        <v>962.2</v>
      </c>
    </row>
    <row r="719" spans="2:14" x14ac:dyDescent="0.25">
      <c r="B719" s="74" t="s">
        <v>987</v>
      </c>
      <c r="C719" s="75">
        <v>65754639</v>
      </c>
      <c r="D719" s="75" t="s">
        <v>239</v>
      </c>
      <c r="E719" s="75">
        <v>51</v>
      </c>
      <c r="F719" s="75" t="s">
        <v>251</v>
      </c>
      <c r="G719" s="75" t="s">
        <v>241</v>
      </c>
      <c r="H719" s="75">
        <v>1</v>
      </c>
      <c r="I719" s="76">
        <v>3185</v>
      </c>
      <c r="J719" s="75" t="s">
        <v>256</v>
      </c>
      <c r="K719" s="77">
        <v>2</v>
      </c>
      <c r="L719" s="78" t="s">
        <v>203</v>
      </c>
      <c r="M719" s="75" t="s">
        <v>254</v>
      </c>
      <c r="N719" s="82">
        <v>318.5</v>
      </c>
    </row>
    <row r="720" spans="2:14" x14ac:dyDescent="0.25">
      <c r="B720" s="74" t="s">
        <v>988</v>
      </c>
      <c r="C720" s="75">
        <v>60181654</v>
      </c>
      <c r="D720" s="75" t="s">
        <v>254</v>
      </c>
      <c r="E720" s="75">
        <v>54</v>
      </c>
      <c r="F720" s="75" t="s">
        <v>240</v>
      </c>
      <c r="G720" s="75" t="s">
        <v>247</v>
      </c>
      <c r="H720" s="75">
        <v>2</v>
      </c>
      <c r="I720" s="76">
        <v>8074</v>
      </c>
      <c r="J720" s="75" t="s">
        <v>242</v>
      </c>
      <c r="K720" s="77">
        <v>2</v>
      </c>
      <c r="L720" s="78" t="s">
        <v>209</v>
      </c>
      <c r="M720" s="75" t="s">
        <v>254</v>
      </c>
      <c r="N720" s="82">
        <v>807.4</v>
      </c>
    </row>
    <row r="721" spans="2:14" x14ac:dyDescent="0.25">
      <c r="B721" s="74" t="s">
        <v>989</v>
      </c>
      <c r="C721" s="75">
        <v>34078349</v>
      </c>
      <c r="D721" s="75" t="s">
        <v>254</v>
      </c>
      <c r="E721" s="75">
        <v>28</v>
      </c>
      <c r="F721" s="75" t="s">
        <v>251</v>
      </c>
      <c r="G721" s="75" t="s">
        <v>252</v>
      </c>
      <c r="H721" s="75">
        <v>1</v>
      </c>
      <c r="I721" s="76">
        <v>9401</v>
      </c>
      <c r="J721" s="75" t="s">
        <v>256</v>
      </c>
      <c r="K721" s="77">
        <v>2</v>
      </c>
      <c r="L721" s="78" t="s">
        <v>213</v>
      </c>
      <c r="M721" s="75" t="s">
        <v>254</v>
      </c>
      <c r="N721" s="82">
        <v>940.1</v>
      </c>
    </row>
    <row r="722" spans="2:14" x14ac:dyDescent="0.25">
      <c r="B722" s="74" t="s">
        <v>990</v>
      </c>
      <c r="C722" s="75">
        <v>23977840</v>
      </c>
      <c r="D722" s="75" t="s">
        <v>254</v>
      </c>
      <c r="E722" s="75">
        <v>54</v>
      </c>
      <c r="F722" s="75" t="s">
        <v>251</v>
      </c>
      <c r="G722" s="75" t="s">
        <v>258</v>
      </c>
      <c r="H722" s="75">
        <v>1</v>
      </c>
      <c r="I722" s="76">
        <v>5867</v>
      </c>
      <c r="J722" s="75" t="s">
        <v>256</v>
      </c>
      <c r="K722" s="77">
        <v>2</v>
      </c>
      <c r="L722" s="78" t="s">
        <v>215</v>
      </c>
      <c r="M722" s="75" t="s">
        <v>254</v>
      </c>
      <c r="N722" s="82">
        <v>586.70000000000005</v>
      </c>
    </row>
    <row r="723" spans="2:14" x14ac:dyDescent="0.25">
      <c r="B723" s="74" t="s">
        <v>991</v>
      </c>
      <c r="C723" s="75">
        <v>39288727</v>
      </c>
      <c r="D723" s="75" t="s">
        <v>254</v>
      </c>
      <c r="E723" s="75">
        <v>51</v>
      </c>
      <c r="F723" s="75" t="s">
        <v>251</v>
      </c>
      <c r="G723" s="75" t="s">
        <v>252</v>
      </c>
      <c r="H723" s="75">
        <v>2</v>
      </c>
      <c r="I723" s="76">
        <v>9394</v>
      </c>
      <c r="J723" s="75" t="s">
        <v>269</v>
      </c>
      <c r="K723" s="77">
        <v>2</v>
      </c>
      <c r="L723" s="78" t="s">
        <v>203</v>
      </c>
      <c r="M723" s="75" t="s">
        <v>254</v>
      </c>
      <c r="N723" s="82">
        <v>939.4</v>
      </c>
    </row>
    <row r="724" spans="2:14" x14ac:dyDescent="0.25">
      <c r="B724" s="74" t="s">
        <v>992</v>
      </c>
      <c r="C724" s="75">
        <v>61287634</v>
      </c>
      <c r="D724" s="75" t="s">
        <v>254</v>
      </c>
      <c r="E724" s="75">
        <v>53</v>
      </c>
      <c r="F724" s="75" t="s">
        <v>246</v>
      </c>
      <c r="G724" s="75" t="s">
        <v>247</v>
      </c>
      <c r="H724" s="75">
        <v>0</v>
      </c>
      <c r="I724" s="76">
        <v>6418</v>
      </c>
      <c r="J724" s="75" t="s">
        <v>256</v>
      </c>
      <c r="K724" s="77">
        <v>2</v>
      </c>
      <c r="L724" s="78" t="s">
        <v>210</v>
      </c>
      <c r="M724" s="75" t="s">
        <v>254</v>
      </c>
      <c r="N724" s="82">
        <v>641.80000000000007</v>
      </c>
    </row>
    <row r="725" spans="2:14" x14ac:dyDescent="0.25">
      <c r="B725" s="74" t="s">
        <v>993</v>
      </c>
      <c r="C725" s="75">
        <v>69369276</v>
      </c>
      <c r="D725" s="75" t="s">
        <v>239</v>
      </c>
      <c r="E725" s="75">
        <v>35</v>
      </c>
      <c r="F725" s="75" t="s">
        <v>251</v>
      </c>
      <c r="G725" s="75" t="s">
        <v>247</v>
      </c>
      <c r="H725" s="75">
        <v>2</v>
      </c>
      <c r="I725" s="76">
        <v>8761</v>
      </c>
      <c r="J725" s="75" t="s">
        <v>262</v>
      </c>
      <c r="K725" s="77">
        <v>2</v>
      </c>
      <c r="L725" s="78" t="s">
        <v>215</v>
      </c>
      <c r="M725" s="75" t="s">
        <v>254</v>
      </c>
      <c r="N725" s="82">
        <v>876.1</v>
      </c>
    </row>
    <row r="726" spans="2:14" x14ac:dyDescent="0.25">
      <c r="B726" s="74" t="s">
        <v>994</v>
      </c>
      <c r="C726" s="75">
        <v>40208451</v>
      </c>
      <c r="D726" s="75" t="s">
        <v>254</v>
      </c>
      <c r="E726" s="75">
        <v>44</v>
      </c>
      <c r="F726" s="75" t="s">
        <v>246</v>
      </c>
      <c r="G726" s="75" t="s">
        <v>258</v>
      </c>
      <c r="H726" s="75">
        <v>1</v>
      </c>
      <c r="I726" s="76">
        <v>2848</v>
      </c>
      <c r="J726" s="75" t="s">
        <v>248</v>
      </c>
      <c r="K726" s="77">
        <v>2</v>
      </c>
      <c r="L726" s="78" t="s">
        <v>263</v>
      </c>
      <c r="M726" s="75" t="s">
        <v>254</v>
      </c>
      <c r="N726" s="82">
        <v>284.8</v>
      </c>
    </row>
    <row r="727" spans="2:14" x14ac:dyDescent="0.25">
      <c r="B727" s="74" t="s">
        <v>995</v>
      </c>
      <c r="C727" s="75">
        <v>66792880</v>
      </c>
      <c r="D727" s="75" t="s">
        <v>239</v>
      </c>
      <c r="E727" s="75">
        <v>62</v>
      </c>
      <c r="F727" s="75" t="s">
        <v>255</v>
      </c>
      <c r="G727" s="75" t="s">
        <v>258</v>
      </c>
      <c r="H727" s="75">
        <v>1</v>
      </c>
      <c r="I727" s="76">
        <v>2337</v>
      </c>
      <c r="J727" s="75" t="s">
        <v>262</v>
      </c>
      <c r="K727" s="77">
        <v>2</v>
      </c>
      <c r="L727" s="78" t="s">
        <v>214</v>
      </c>
      <c r="M727" s="75" t="s">
        <v>254</v>
      </c>
      <c r="N727" s="82">
        <v>233.70000000000002</v>
      </c>
    </row>
    <row r="728" spans="2:14" x14ac:dyDescent="0.25">
      <c r="B728" s="74" t="s">
        <v>996</v>
      </c>
      <c r="C728" s="75">
        <v>45317819</v>
      </c>
      <c r="D728" s="75" t="s">
        <v>239</v>
      </c>
      <c r="E728" s="75">
        <v>57</v>
      </c>
      <c r="F728" s="75" t="s">
        <v>255</v>
      </c>
      <c r="G728" s="75" t="s">
        <v>247</v>
      </c>
      <c r="H728" s="75">
        <v>1</v>
      </c>
      <c r="I728" s="76">
        <v>2823</v>
      </c>
      <c r="J728" s="75" t="s">
        <v>242</v>
      </c>
      <c r="K728" s="77">
        <v>2</v>
      </c>
      <c r="L728" s="78" t="s">
        <v>213</v>
      </c>
      <c r="M728" s="75" t="s">
        <v>254</v>
      </c>
      <c r="N728" s="82">
        <v>282.3</v>
      </c>
    </row>
    <row r="729" spans="2:14" x14ac:dyDescent="0.25">
      <c r="B729" s="74" t="s">
        <v>997</v>
      </c>
      <c r="C729" s="75">
        <v>39193442</v>
      </c>
      <c r="D729" s="75" t="s">
        <v>239</v>
      </c>
      <c r="E729" s="75">
        <v>47</v>
      </c>
      <c r="F729" s="75" t="s">
        <v>240</v>
      </c>
      <c r="G729" s="75" t="s">
        <v>247</v>
      </c>
      <c r="H729" s="75">
        <v>2</v>
      </c>
      <c r="I729" s="76">
        <v>5867</v>
      </c>
      <c r="J729" s="75" t="s">
        <v>248</v>
      </c>
      <c r="K729" s="77">
        <v>1</v>
      </c>
      <c r="L729" s="78" t="s">
        <v>212</v>
      </c>
      <c r="M729" s="75" t="s">
        <v>254</v>
      </c>
      <c r="N729" s="82">
        <v>293.35000000000002</v>
      </c>
    </row>
    <row r="730" spans="2:14" x14ac:dyDescent="0.25">
      <c r="B730" s="74" t="s">
        <v>998</v>
      </c>
      <c r="C730" s="75">
        <v>30022902</v>
      </c>
      <c r="D730" s="75" t="s">
        <v>239</v>
      </c>
      <c r="E730" s="75">
        <v>36</v>
      </c>
      <c r="F730" s="75" t="s">
        <v>255</v>
      </c>
      <c r="G730" s="75" t="s">
        <v>247</v>
      </c>
      <c r="H730" s="75">
        <v>2</v>
      </c>
      <c r="I730" s="76">
        <v>4033</v>
      </c>
      <c r="J730" s="75" t="s">
        <v>242</v>
      </c>
      <c r="K730" s="77">
        <v>1</v>
      </c>
      <c r="L730" s="78" t="s">
        <v>193</v>
      </c>
      <c r="M730" s="75" t="s">
        <v>254</v>
      </c>
      <c r="N730" s="82">
        <v>201.64999999999998</v>
      </c>
    </row>
    <row r="731" spans="2:14" x14ac:dyDescent="0.25">
      <c r="B731" s="74" t="s">
        <v>999</v>
      </c>
      <c r="C731" s="75">
        <v>49835204</v>
      </c>
      <c r="D731" s="75" t="s">
        <v>239</v>
      </c>
      <c r="E731" s="75">
        <v>65</v>
      </c>
      <c r="F731" s="75" t="s">
        <v>240</v>
      </c>
      <c r="G731" s="75" t="s">
        <v>258</v>
      </c>
      <c r="H731" s="75">
        <v>4</v>
      </c>
      <c r="I731" s="76">
        <v>7165</v>
      </c>
      <c r="J731" s="75" t="s">
        <v>262</v>
      </c>
      <c r="K731" s="77">
        <v>1</v>
      </c>
      <c r="L731" s="78" t="s">
        <v>193</v>
      </c>
      <c r="M731" s="75" t="s">
        <v>254</v>
      </c>
      <c r="N731" s="82">
        <v>358.25</v>
      </c>
    </row>
    <row r="732" spans="2:14" x14ac:dyDescent="0.25">
      <c r="B732" s="74" t="s">
        <v>1000</v>
      </c>
      <c r="C732" s="75">
        <v>57940221</v>
      </c>
      <c r="D732" s="75" t="s">
        <v>239</v>
      </c>
      <c r="E732" s="75">
        <v>61</v>
      </c>
      <c r="F732" s="75" t="s">
        <v>251</v>
      </c>
      <c r="G732" s="75" t="s">
        <v>258</v>
      </c>
      <c r="H732" s="75">
        <v>2</v>
      </c>
      <c r="I732" s="76">
        <v>2191</v>
      </c>
      <c r="J732" s="75" t="s">
        <v>248</v>
      </c>
      <c r="K732" s="77">
        <v>1</v>
      </c>
      <c r="L732" s="78" t="s">
        <v>209</v>
      </c>
      <c r="M732" s="75" t="s">
        <v>254</v>
      </c>
      <c r="N732" s="82">
        <v>109.55</v>
      </c>
    </row>
    <row r="733" spans="2:14" x14ac:dyDescent="0.25">
      <c r="B733" s="74" t="s">
        <v>1001</v>
      </c>
      <c r="C733" s="75">
        <v>62330150</v>
      </c>
      <c r="D733" s="75" t="s">
        <v>239</v>
      </c>
      <c r="E733" s="75">
        <v>37</v>
      </c>
      <c r="F733" s="75" t="s">
        <v>246</v>
      </c>
      <c r="G733" s="75" t="s">
        <v>258</v>
      </c>
      <c r="H733" s="75">
        <v>3</v>
      </c>
      <c r="I733" s="76">
        <v>5715</v>
      </c>
      <c r="J733" s="75" t="s">
        <v>242</v>
      </c>
      <c r="K733" s="77">
        <v>1</v>
      </c>
      <c r="L733" s="78" t="s">
        <v>193</v>
      </c>
      <c r="M733" s="75" t="s">
        <v>254</v>
      </c>
      <c r="N733" s="82">
        <v>285.75</v>
      </c>
    </row>
    <row r="734" spans="2:14" x14ac:dyDescent="0.25">
      <c r="B734" s="74" t="s">
        <v>1002</v>
      </c>
      <c r="C734" s="75">
        <v>56182178</v>
      </c>
      <c r="D734" s="75" t="s">
        <v>254</v>
      </c>
      <c r="E734" s="75">
        <v>64</v>
      </c>
      <c r="F734" s="75" t="s">
        <v>251</v>
      </c>
      <c r="G734" s="75" t="s">
        <v>247</v>
      </c>
      <c r="H734" s="75">
        <v>2</v>
      </c>
      <c r="I734" s="76">
        <v>4020</v>
      </c>
      <c r="J734" s="75" t="s">
        <v>242</v>
      </c>
      <c r="K734" s="77">
        <v>1</v>
      </c>
      <c r="L734" s="78" t="s">
        <v>215</v>
      </c>
      <c r="M734" s="75" t="s">
        <v>254</v>
      </c>
      <c r="N734" s="82">
        <v>201</v>
      </c>
    </row>
    <row r="735" spans="2:14" x14ac:dyDescent="0.25">
      <c r="B735" s="74" t="s">
        <v>1003</v>
      </c>
      <c r="C735" s="75">
        <v>32852146</v>
      </c>
      <c r="D735" s="75" t="s">
        <v>254</v>
      </c>
      <c r="E735" s="75">
        <v>23</v>
      </c>
      <c r="F735" s="75" t="s">
        <v>246</v>
      </c>
      <c r="G735" s="75" t="s">
        <v>258</v>
      </c>
      <c r="H735" s="75">
        <v>4</v>
      </c>
      <c r="I735" s="76">
        <v>3260</v>
      </c>
      <c r="J735" s="75" t="s">
        <v>262</v>
      </c>
      <c r="K735" s="77">
        <v>1</v>
      </c>
      <c r="L735" s="78" t="s">
        <v>203</v>
      </c>
      <c r="M735" s="75" t="s">
        <v>254</v>
      </c>
      <c r="N735" s="82">
        <v>163</v>
      </c>
    </row>
    <row r="736" spans="2:14" x14ac:dyDescent="0.25">
      <c r="B736" s="74" t="s">
        <v>1004</v>
      </c>
      <c r="C736" s="75">
        <v>32949696</v>
      </c>
      <c r="D736" s="75" t="s">
        <v>254</v>
      </c>
      <c r="E736" s="75">
        <v>52</v>
      </c>
      <c r="F736" s="75" t="s">
        <v>251</v>
      </c>
      <c r="G736" s="75" t="s">
        <v>247</v>
      </c>
      <c r="H736" s="75">
        <v>4</v>
      </c>
      <c r="I736" s="76">
        <v>5045</v>
      </c>
      <c r="J736" s="75" t="s">
        <v>248</v>
      </c>
      <c r="K736" s="77">
        <v>1</v>
      </c>
      <c r="L736" s="78" t="s">
        <v>209</v>
      </c>
      <c r="M736" s="75" t="s">
        <v>254</v>
      </c>
      <c r="N736" s="82">
        <v>252.25</v>
      </c>
    </row>
    <row r="737" spans="2:14" x14ac:dyDescent="0.25">
      <c r="B737" s="74" t="s">
        <v>1005</v>
      </c>
      <c r="C737" s="75">
        <v>56485565</v>
      </c>
      <c r="D737" s="75" t="s">
        <v>254</v>
      </c>
      <c r="E737" s="75">
        <v>23</v>
      </c>
      <c r="F737" s="75" t="s">
        <v>240</v>
      </c>
      <c r="G737" s="75" t="s">
        <v>247</v>
      </c>
      <c r="H737" s="75">
        <v>0</v>
      </c>
      <c r="I737" s="76">
        <v>7389</v>
      </c>
      <c r="J737" s="75" t="s">
        <v>256</v>
      </c>
      <c r="K737" s="77">
        <v>1</v>
      </c>
      <c r="L737" s="78" t="s">
        <v>263</v>
      </c>
      <c r="M737" s="75" t="s">
        <v>254</v>
      </c>
      <c r="N737" s="82">
        <v>369.45</v>
      </c>
    </row>
    <row r="738" spans="2:14" x14ac:dyDescent="0.25">
      <c r="B738" s="74" t="s">
        <v>1006</v>
      </c>
      <c r="C738" s="75">
        <v>59982993</v>
      </c>
      <c r="D738" s="75" t="s">
        <v>254</v>
      </c>
      <c r="E738" s="75">
        <v>55</v>
      </c>
      <c r="F738" s="75" t="s">
        <v>255</v>
      </c>
      <c r="G738" s="75" t="s">
        <v>247</v>
      </c>
      <c r="H738" s="75">
        <v>4</v>
      </c>
      <c r="I738" s="76">
        <v>2027</v>
      </c>
      <c r="J738" s="75" t="s">
        <v>256</v>
      </c>
      <c r="K738" s="77">
        <v>1</v>
      </c>
      <c r="L738" s="78" t="s">
        <v>193</v>
      </c>
      <c r="M738" s="75" t="s">
        <v>254</v>
      </c>
      <c r="N738" s="82">
        <v>101.35</v>
      </c>
    </row>
    <row r="739" spans="2:14" x14ac:dyDescent="0.25">
      <c r="B739" s="74" t="s">
        <v>1007</v>
      </c>
      <c r="C739" s="75">
        <v>28448336</v>
      </c>
      <c r="D739" s="75" t="s">
        <v>254</v>
      </c>
      <c r="E739" s="75">
        <v>64</v>
      </c>
      <c r="F739" s="75" t="s">
        <v>251</v>
      </c>
      <c r="G739" s="75" t="s">
        <v>258</v>
      </c>
      <c r="H739" s="75">
        <v>3</v>
      </c>
      <c r="I739" s="76">
        <v>8314</v>
      </c>
      <c r="J739" s="75" t="s">
        <v>242</v>
      </c>
      <c r="K739" s="77">
        <v>1</v>
      </c>
      <c r="L739" s="78" t="s">
        <v>193</v>
      </c>
      <c r="M739" s="75" t="s">
        <v>254</v>
      </c>
      <c r="N739" s="82">
        <v>415.7</v>
      </c>
    </row>
    <row r="740" spans="2:14" x14ac:dyDescent="0.25">
      <c r="B740" s="74" t="s">
        <v>1008</v>
      </c>
      <c r="C740" s="75">
        <v>28220771</v>
      </c>
      <c r="D740" s="75" t="s">
        <v>239</v>
      </c>
      <c r="E740" s="75">
        <v>45</v>
      </c>
      <c r="F740" s="75" t="s">
        <v>251</v>
      </c>
      <c r="G740" s="75" t="s">
        <v>252</v>
      </c>
      <c r="H740" s="75">
        <v>2</v>
      </c>
      <c r="I740" s="76">
        <v>5387</v>
      </c>
      <c r="J740" s="75" t="s">
        <v>256</v>
      </c>
      <c r="K740" s="77">
        <v>1</v>
      </c>
      <c r="L740" s="78" t="s">
        <v>214</v>
      </c>
      <c r="M740" s="75" t="s">
        <v>254</v>
      </c>
      <c r="N740" s="82">
        <v>269.34999999999997</v>
      </c>
    </row>
    <row r="741" spans="2:14" x14ac:dyDescent="0.25">
      <c r="B741" s="74" t="s">
        <v>1009</v>
      </c>
      <c r="C741" s="75">
        <v>44978187</v>
      </c>
      <c r="D741" s="75" t="s">
        <v>239</v>
      </c>
      <c r="E741" s="75">
        <v>54</v>
      </c>
      <c r="F741" s="75" t="s">
        <v>240</v>
      </c>
      <c r="G741" s="75" t="s">
        <v>258</v>
      </c>
      <c r="H741" s="75">
        <v>1</v>
      </c>
      <c r="I741" s="76">
        <v>8719</v>
      </c>
      <c r="J741" s="75" t="s">
        <v>256</v>
      </c>
      <c r="K741" s="77">
        <v>0</v>
      </c>
      <c r="L741" s="78" t="s">
        <v>382</v>
      </c>
      <c r="M741" s="75" t="s">
        <v>254</v>
      </c>
      <c r="N741" s="82">
        <v>0</v>
      </c>
    </row>
    <row r="742" spans="2:14" x14ac:dyDescent="0.25">
      <c r="B742" s="74" t="s">
        <v>1010</v>
      </c>
      <c r="C742" s="75">
        <v>66765544</v>
      </c>
      <c r="D742" s="75" t="s">
        <v>254</v>
      </c>
      <c r="E742" s="75">
        <v>23</v>
      </c>
      <c r="F742" s="75" t="s">
        <v>255</v>
      </c>
      <c r="G742" s="75" t="s">
        <v>258</v>
      </c>
      <c r="H742" s="75">
        <v>2</v>
      </c>
      <c r="I742" s="76">
        <v>7681</v>
      </c>
      <c r="J742" s="75" t="s">
        <v>256</v>
      </c>
      <c r="K742" s="77">
        <v>0</v>
      </c>
      <c r="L742" s="78" t="s">
        <v>382</v>
      </c>
      <c r="M742" s="75" t="s">
        <v>254</v>
      </c>
      <c r="N742" s="82">
        <v>0</v>
      </c>
    </row>
    <row r="743" spans="2:14" x14ac:dyDescent="0.25">
      <c r="B743" s="74" t="s">
        <v>1011</v>
      </c>
      <c r="C743" s="75">
        <v>36288975</v>
      </c>
      <c r="D743" s="75" t="s">
        <v>239</v>
      </c>
      <c r="E743" s="75">
        <v>29</v>
      </c>
      <c r="F743" s="75" t="s">
        <v>240</v>
      </c>
      <c r="G743" s="75" t="s">
        <v>247</v>
      </c>
      <c r="H743" s="75">
        <v>2</v>
      </c>
      <c r="I743" s="76">
        <v>9252</v>
      </c>
      <c r="J743" s="75" t="s">
        <v>256</v>
      </c>
      <c r="K743" s="77">
        <v>0</v>
      </c>
      <c r="L743" s="78" t="s">
        <v>382</v>
      </c>
      <c r="M743" s="75" t="s">
        <v>254</v>
      </c>
      <c r="N743" s="82">
        <v>0</v>
      </c>
    </row>
    <row r="744" spans="2:14" x14ac:dyDescent="0.25">
      <c r="B744" s="74" t="s">
        <v>1012</v>
      </c>
      <c r="C744" s="75">
        <v>24055481</v>
      </c>
      <c r="D744" s="75" t="s">
        <v>239</v>
      </c>
      <c r="E744" s="75">
        <v>47</v>
      </c>
      <c r="F744" s="75" t="s">
        <v>251</v>
      </c>
      <c r="G744" s="75" t="s">
        <v>258</v>
      </c>
      <c r="H744" s="75">
        <v>3</v>
      </c>
      <c r="I744" s="76">
        <v>6349</v>
      </c>
      <c r="J744" s="75" t="s">
        <v>256</v>
      </c>
      <c r="K744" s="77">
        <v>0</v>
      </c>
      <c r="L744" s="78" t="s">
        <v>382</v>
      </c>
      <c r="M744" s="75" t="s">
        <v>254</v>
      </c>
      <c r="N744" s="82">
        <v>0</v>
      </c>
    </row>
    <row r="745" spans="2:14" x14ac:dyDescent="0.25">
      <c r="B745" s="74" t="s">
        <v>1013</v>
      </c>
      <c r="C745" s="75">
        <v>56719776</v>
      </c>
      <c r="D745" s="75" t="s">
        <v>254</v>
      </c>
      <c r="E745" s="75">
        <v>49</v>
      </c>
      <c r="F745" s="75" t="s">
        <v>246</v>
      </c>
      <c r="G745" s="75" t="s">
        <v>258</v>
      </c>
      <c r="H745" s="75">
        <v>3</v>
      </c>
      <c r="I745" s="76">
        <v>6889</v>
      </c>
      <c r="J745" s="75" t="s">
        <v>269</v>
      </c>
      <c r="K745" s="77">
        <v>0</v>
      </c>
      <c r="L745" s="78" t="s">
        <v>382</v>
      </c>
      <c r="M745" s="75" t="s">
        <v>254</v>
      </c>
      <c r="N745" s="82">
        <v>0</v>
      </c>
    </row>
    <row r="746" spans="2:14" x14ac:dyDescent="0.25">
      <c r="B746" s="74" t="s">
        <v>1014</v>
      </c>
      <c r="C746" s="75">
        <v>56657746</v>
      </c>
      <c r="D746" s="75" t="s">
        <v>239</v>
      </c>
      <c r="E746" s="75">
        <v>56</v>
      </c>
      <c r="F746" s="75" t="s">
        <v>251</v>
      </c>
      <c r="G746" s="75" t="s">
        <v>252</v>
      </c>
      <c r="H746" s="75">
        <v>2</v>
      </c>
      <c r="I746" s="76">
        <v>2373</v>
      </c>
      <c r="J746" s="75" t="s">
        <v>269</v>
      </c>
      <c r="K746" s="77">
        <v>0</v>
      </c>
      <c r="L746" s="78" t="s">
        <v>382</v>
      </c>
      <c r="M746" s="75" t="s">
        <v>254</v>
      </c>
      <c r="N746" s="82">
        <v>0</v>
      </c>
    </row>
    <row r="747" spans="2:14" x14ac:dyDescent="0.25">
      <c r="B747" s="74" t="s">
        <v>1015</v>
      </c>
      <c r="C747" s="75">
        <v>38751066</v>
      </c>
      <c r="D747" s="75" t="s">
        <v>254</v>
      </c>
      <c r="E747" s="75">
        <v>46</v>
      </c>
      <c r="F747" s="75" t="s">
        <v>246</v>
      </c>
      <c r="G747" s="75" t="s">
        <v>252</v>
      </c>
      <c r="H747" s="75">
        <v>2</v>
      </c>
      <c r="I747" s="76">
        <v>9556</v>
      </c>
      <c r="J747" s="75" t="s">
        <v>269</v>
      </c>
      <c r="K747" s="77">
        <v>0</v>
      </c>
      <c r="L747" s="78" t="s">
        <v>382</v>
      </c>
      <c r="M747" s="75" t="s">
        <v>254</v>
      </c>
      <c r="N747" s="82">
        <v>0</v>
      </c>
    </row>
    <row r="748" spans="2:14" x14ac:dyDescent="0.25">
      <c r="B748" s="74" t="s">
        <v>1016</v>
      </c>
      <c r="C748" s="75">
        <v>64813164</v>
      </c>
      <c r="D748" s="75" t="s">
        <v>239</v>
      </c>
      <c r="E748" s="75">
        <v>29</v>
      </c>
      <c r="F748" s="75" t="s">
        <v>255</v>
      </c>
      <c r="G748" s="75" t="s">
        <v>258</v>
      </c>
      <c r="H748" s="75">
        <v>2</v>
      </c>
      <c r="I748" s="76">
        <v>2335</v>
      </c>
      <c r="J748" s="75" t="s">
        <v>262</v>
      </c>
      <c r="K748" s="77">
        <v>0</v>
      </c>
      <c r="L748" s="78" t="s">
        <v>382</v>
      </c>
      <c r="M748" s="75" t="s">
        <v>254</v>
      </c>
      <c r="N748" s="82">
        <v>0</v>
      </c>
    </row>
    <row r="749" spans="2:14" x14ac:dyDescent="0.25">
      <c r="B749" s="74" t="s">
        <v>1017</v>
      </c>
      <c r="C749" s="75">
        <v>56862617</v>
      </c>
      <c r="D749" s="75" t="s">
        <v>239</v>
      </c>
      <c r="E749" s="75">
        <v>61</v>
      </c>
      <c r="F749" s="75" t="s">
        <v>255</v>
      </c>
      <c r="G749" s="75" t="s">
        <v>258</v>
      </c>
      <c r="H749" s="75">
        <v>1</v>
      </c>
      <c r="I749" s="76">
        <v>9449</v>
      </c>
      <c r="J749" s="75" t="s">
        <v>269</v>
      </c>
      <c r="K749" s="77">
        <v>10</v>
      </c>
      <c r="L749" s="78" t="s">
        <v>279</v>
      </c>
      <c r="M749" s="75" t="s">
        <v>1018</v>
      </c>
      <c r="N749" s="82">
        <v>1889.8</v>
      </c>
    </row>
    <row r="750" spans="2:14" x14ac:dyDescent="0.25">
      <c r="B750" s="74" t="s">
        <v>1019</v>
      </c>
      <c r="C750" s="75">
        <v>61772635</v>
      </c>
      <c r="D750" s="75" t="s">
        <v>239</v>
      </c>
      <c r="E750" s="75">
        <v>37</v>
      </c>
      <c r="F750" s="75" t="s">
        <v>255</v>
      </c>
      <c r="G750" s="75" t="s">
        <v>241</v>
      </c>
      <c r="H750" s="75">
        <v>4</v>
      </c>
      <c r="I750" s="76">
        <v>2921</v>
      </c>
      <c r="J750" s="75" t="s">
        <v>262</v>
      </c>
      <c r="K750" s="77">
        <v>10</v>
      </c>
      <c r="L750" s="78" t="s">
        <v>243</v>
      </c>
      <c r="M750" s="75" t="s">
        <v>1018</v>
      </c>
      <c r="N750" s="82">
        <v>584.20000000000005</v>
      </c>
    </row>
    <row r="751" spans="2:14" x14ac:dyDescent="0.25">
      <c r="B751" s="74" t="s">
        <v>1020</v>
      </c>
      <c r="C751" s="75">
        <v>40378939</v>
      </c>
      <c r="D751" s="75" t="s">
        <v>239</v>
      </c>
      <c r="E751" s="75">
        <v>21</v>
      </c>
      <c r="F751" s="75" t="s">
        <v>251</v>
      </c>
      <c r="G751" s="75" t="s">
        <v>258</v>
      </c>
      <c r="H751" s="75">
        <v>1</v>
      </c>
      <c r="I751" s="76">
        <v>7805</v>
      </c>
      <c r="J751" s="75" t="s">
        <v>242</v>
      </c>
      <c r="K751" s="77">
        <v>10</v>
      </c>
      <c r="L751" s="78" t="s">
        <v>210</v>
      </c>
      <c r="M751" s="75" t="s">
        <v>1018</v>
      </c>
      <c r="N751" s="82">
        <v>1561</v>
      </c>
    </row>
    <row r="752" spans="2:14" x14ac:dyDescent="0.25">
      <c r="B752" s="74" t="s">
        <v>1021</v>
      </c>
      <c r="C752" s="75">
        <v>40834354</v>
      </c>
      <c r="D752" s="75" t="s">
        <v>239</v>
      </c>
      <c r="E752" s="75">
        <v>61</v>
      </c>
      <c r="F752" s="75" t="s">
        <v>255</v>
      </c>
      <c r="G752" s="75" t="s">
        <v>247</v>
      </c>
      <c r="H752" s="75">
        <v>3</v>
      </c>
      <c r="I752" s="76">
        <v>7570</v>
      </c>
      <c r="J752" s="75" t="s">
        <v>262</v>
      </c>
      <c r="K752" s="77">
        <v>10</v>
      </c>
      <c r="L752" s="78" t="s">
        <v>213</v>
      </c>
      <c r="M752" s="75" t="s">
        <v>1018</v>
      </c>
      <c r="N752" s="82">
        <v>1514</v>
      </c>
    </row>
    <row r="753" spans="2:14" x14ac:dyDescent="0.25">
      <c r="B753" s="74" t="s">
        <v>1022</v>
      </c>
      <c r="C753" s="75">
        <v>38248042</v>
      </c>
      <c r="D753" s="75" t="s">
        <v>254</v>
      </c>
      <c r="E753" s="75">
        <v>43</v>
      </c>
      <c r="F753" s="75" t="s">
        <v>246</v>
      </c>
      <c r="G753" s="75" t="s">
        <v>247</v>
      </c>
      <c r="H753" s="75">
        <v>3</v>
      </c>
      <c r="I753" s="76">
        <v>6362</v>
      </c>
      <c r="J753" s="75" t="s">
        <v>262</v>
      </c>
      <c r="K753" s="77">
        <v>10</v>
      </c>
      <c r="L753" s="78" t="s">
        <v>214</v>
      </c>
      <c r="M753" s="75" t="s">
        <v>1018</v>
      </c>
      <c r="N753" s="82">
        <v>1272.4000000000001</v>
      </c>
    </row>
    <row r="754" spans="2:14" x14ac:dyDescent="0.25">
      <c r="B754" s="74" t="s">
        <v>1023</v>
      </c>
      <c r="C754" s="75">
        <v>45059086</v>
      </c>
      <c r="D754" s="75" t="s">
        <v>239</v>
      </c>
      <c r="E754" s="75">
        <v>28</v>
      </c>
      <c r="F754" s="75" t="s">
        <v>255</v>
      </c>
      <c r="G754" s="75" t="s">
        <v>258</v>
      </c>
      <c r="H754" s="75">
        <v>1</v>
      </c>
      <c r="I754" s="76">
        <v>2247</v>
      </c>
      <c r="J754" s="75" t="s">
        <v>242</v>
      </c>
      <c r="K754" s="77">
        <v>10</v>
      </c>
      <c r="L754" s="78" t="s">
        <v>209</v>
      </c>
      <c r="M754" s="75" t="s">
        <v>1018</v>
      </c>
      <c r="N754" s="82">
        <v>449.4</v>
      </c>
    </row>
    <row r="755" spans="2:14" x14ac:dyDescent="0.25">
      <c r="B755" s="74" t="s">
        <v>1024</v>
      </c>
      <c r="C755" s="75">
        <v>69798850</v>
      </c>
      <c r="D755" s="75" t="s">
        <v>254</v>
      </c>
      <c r="E755" s="75">
        <v>44</v>
      </c>
      <c r="F755" s="75" t="s">
        <v>251</v>
      </c>
      <c r="G755" s="75" t="s">
        <v>247</v>
      </c>
      <c r="H755" s="75">
        <v>1</v>
      </c>
      <c r="I755" s="76">
        <v>7280</v>
      </c>
      <c r="J755" s="75" t="s">
        <v>269</v>
      </c>
      <c r="K755" s="77">
        <v>10</v>
      </c>
      <c r="L755" s="78" t="s">
        <v>213</v>
      </c>
      <c r="M755" s="75" t="s">
        <v>1018</v>
      </c>
      <c r="N755" s="82">
        <v>1456</v>
      </c>
    </row>
    <row r="756" spans="2:14" x14ac:dyDescent="0.25">
      <c r="B756" s="74" t="s">
        <v>1025</v>
      </c>
      <c r="C756" s="75">
        <v>34028886</v>
      </c>
      <c r="D756" s="75" t="s">
        <v>254</v>
      </c>
      <c r="E756" s="75">
        <v>64</v>
      </c>
      <c r="F756" s="75" t="s">
        <v>240</v>
      </c>
      <c r="G756" s="75" t="s">
        <v>252</v>
      </c>
      <c r="H756" s="75">
        <v>2</v>
      </c>
      <c r="I756" s="76">
        <v>5656</v>
      </c>
      <c r="J756" s="75" t="s">
        <v>262</v>
      </c>
      <c r="K756" s="77">
        <v>10</v>
      </c>
      <c r="L756" s="78" t="s">
        <v>210</v>
      </c>
      <c r="M756" s="75" t="s">
        <v>1018</v>
      </c>
      <c r="N756" s="82">
        <v>1131.2</v>
      </c>
    </row>
    <row r="757" spans="2:14" x14ac:dyDescent="0.25">
      <c r="B757" s="74" t="s">
        <v>1026</v>
      </c>
      <c r="C757" s="75">
        <v>28335446</v>
      </c>
      <c r="D757" s="75" t="s">
        <v>254</v>
      </c>
      <c r="E757" s="75">
        <v>26</v>
      </c>
      <c r="F757" s="75" t="s">
        <v>255</v>
      </c>
      <c r="G757" s="75" t="s">
        <v>247</v>
      </c>
      <c r="H757" s="75">
        <v>1</v>
      </c>
      <c r="I757" s="76">
        <v>4893</v>
      </c>
      <c r="J757" s="75" t="s">
        <v>242</v>
      </c>
      <c r="K757" s="77">
        <v>10</v>
      </c>
      <c r="L757" s="78" t="s">
        <v>210</v>
      </c>
      <c r="M757" s="75" t="s">
        <v>1018</v>
      </c>
      <c r="N757" s="82">
        <v>978.6</v>
      </c>
    </row>
    <row r="758" spans="2:14" x14ac:dyDescent="0.25">
      <c r="B758" s="74" t="s">
        <v>1027</v>
      </c>
      <c r="C758" s="75">
        <v>38814481</v>
      </c>
      <c r="D758" s="75" t="s">
        <v>254</v>
      </c>
      <c r="E758" s="75">
        <v>20</v>
      </c>
      <c r="F758" s="75" t="s">
        <v>246</v>
      </c>
      <c r="G758" s="75" t="s">
        <v>247</v>
      </c>
      <c r="H758" s="75">
        <v>2</v>
      </c>
      <c r="I758" s="76">
        <v>5259</v>
      </c>
      <c r="J758" s="75" t="s">
        <v>248</v>
      </c>
      <c r="K758" s="77">
        <v>10</v>
      </c>
      <c r="L758" s="78" t="s">
        <v>203</v>
      </c>
      <c r="M758" s="75" t="s">
        <v>1018</v>
      </c>
      <c r="N758" s="82">
        <v>1051.8</v>
      </c>
    </row>
    <row r="759" spans="2:14" x14ac:dyDescent="0.25">
      <c r="B759" s="74" t="s">
        <v>1028</v>
      </c>
      <c r="C759" s="75">
        <v>34993274</v>
      </c>
      <c r="D759" s="75" t="s">
        <v>239</v>
      </c>
      <c r="E759" s="75">
        <v>48</v>
      </c>
      <c r="F759" s="75" t="s">
        <v>240</v>
      </c>
      <c r="G759" s="75" t="s">
        <v>247</v>
      </c>
      <c r="H759" s="75">
        <v>2</v>
      </c>
      <c r="I759" s="76">
        <v>5446</v>
      </c>
      <c r="J759" s="75" t="s">
        <v>256</v>
      </c>
      <c r="K759" s="77">
        <v>9</v>
      </c>
      <c r="L759" s="78" t="s">
        <v>215</v>
      </c>
      <c r="M759" s="75" t="s">
        <v>1018</v>
      </c>
      <c r="N759" s="82">
        <v>980.28</v>
      </c>
    </row>
    <row r="760" spans="2:14" x14ac:dyDescent="0.25">
      <c r="B760" s="74" t="s">
        <v>1029</v>
      </c>
      <c r="C760" s="75">
        <v>59697136</v>
      </c>
      <c r="D760" s="75" t="s">
        <v>254</v>
      </c>
      <c r="E760" s="75">
        <v>29</v>
      </c>
      <c r="F760" s="75" t="s">
        <v>240</v>
      </c>
      <c r="G760" s="75" t="s">
        <v>241</v>
      </c>
      <c r="H760" s="75">
        <v>1</v>
      </c>
      <c r="I760" s="76">
        <v>9896</v>
      </c>
      <c r="J760" s="75" t="s">
        <v>256</v>
      </c>
      <c r="K760" s="77">
        <v>9</v>
      </c>
      <c r="L760" s="78" t="s">
        <v>193</v>
      </c>
      <c r="M760" s="75" t="s">
        <v>1018</v>
      </c>
      <c r="N760" s="82">
        <v>1781.28</v>
      </c>
    </row>
    <row r="761" spans="2:14" x14ac:dyDescent="0.25">
      <c r="B761" s="74" t="s">
        <v>1030</v>
      </c>
      <c r="C761" s="75">
        <v>23284979</v>
      </c>
      <c r="D761" s="75" t="s">
        <v>254</v>
      </c>
      <c r="E761" s="75">
        <v>41</v>
      </c>
      <c r="F761" s="75" t="s">
        <v>246</v>
      </c>
      <c r="G761" s="75" t="s">
        <v>241</v>
      </c>
      <c r="H761" s="75">
        <v>1</v>
      </c>
      <c r="I761" s="76">
        <v>9112</v>
      </c>
      <c r="J761" s="75" t="s">
        <v>262</v>
      </c>
      <c r="K761" s="77">
        <v>9</v>
      </c>
      <c r="L761" s="78" t="s">
        <v>243</v>
      </c>
      <c r="M761" s="75" t="s">
        <v>1018</v>
      </c>
      <c r="N761" s="82">
        <v>1640.16</v>
      </c>
    </row>
    <row r="762" spans="2:14" x14ac:dyDescent="0.25">
      <c r="B762" s="74" t="s">
        <v>1031</v>
      </c>
      <c r="C762" s="75">
        <v>67776672</v>
      </c>
      <c r="D762" s="75" t="s">
        <v>239</v>
      </c>
      <c r="E762" s="75">
        <v>28</v>
      </c>
      <c r="F762" s="75" t="s">
        <v>240</v>
      </c>
      <c r="G762" s="75" t="s">
        <v>247</v>
      </c>
      <c r="H762" s="75">
        <v>2</v>
      </c>
      <c r="I762" s="76">
        <v>5833</v>
      </c>
      <c r="J762" s="75" t="s">
        <v>248</v>
      </c>
      <c r="K762" s="77">
        <v>9</v>
      </c>
      <c r="L762" s="78" t="s">
        <v>271</v>
      </c>
      <c r="M762" s="75" t="s">
        <v>1018</v>
      </c>
      <c r="N762" s="82">
        <v>1049.94</v>
      </c>
    </row>
    <row r="763" spans="2:14" x14ac:dyDescent="0.25">
      <c r="B763" s="74" t="s">
        <v>1032</v>
      </c>
      <c r="C763" s="75">
        <v>43169875</v>
      </c>
      <c r="D763" s="75" t="s">
        <v>239</v>
      </c>
      <c r="E763" s="75">
        <v>44</v>
      </c>
      <c r="F763" s="75" t="s">
        <v>246</v>
      </c>
      <c r="G763" s="75" t="s">
        <v>241</v>
      </c>
      <c r="H763" s="75">
        <v>4</v>
      </c>
      <c r="I763" s="76">
        <v>5579</v>
      </c>
      <c r="J763" s="75" t="s">
        <v>262</v>
      </c>
      <c r="K763" s="77">
        <v>9</v>
      </c>
      <c r="L763" s="78" t="s">
        <v>210</v>
      </c>
      <c r="M763" s="75" t="s">
        <v>1018</v>
      </c>
      <c r="N763" s="82">
        <v>1004.22</v>
      </c>
    </row>
    <row r="764" spans="2:14" x14ac:dyDescent="0.25">
      <c r="B764" s="74" t="s">
        <v>1033</v>
      </c>
      <c r="C764" s="75">
        <v>68281691</v>
      </c>
      <c r="D764" s="75" t="s">
        <v>254</v>
      </c>
      <c r="E764" s="75">
        <v>23</v>
      </c>
      <c r="F764" s="75" t="s">
        <v>240</v>
      </c>
      <c r="G764" s="75" t="s">
        <v>258</v>
      </c>
      <c r="H764" s="75">
        <v>3</v>
      </c>
      <c r="I764" s="76">
        <v>4720</v>
      </c>
      <c r="J764" s="75" t="s">
        <v>248</v>
      </c>
      <c r="K764" s="77">
        <v>9</v>
      </c>
      <c r="L764" s="78" t="s">
        <v>212</v>
      </c>
      <c r="M764" s="75" t="s">
        <v>1018</v>
      </c>
      <c r="N764" s="82">
        <v>849.6</v>
      </c>
    </row>
    <row r="765" spans="2:14" x14ac:dyDescent="0.25">
      <c r="B765" s="74" t="s">
        <v>1034</v>
      </c>
      <c r="C765" s="75">
        <v>24551424</v>
      </c>
      <c r="D765" s="75" t="s">
        <v>254</v>
      </c>
      <c r="E765" s="75">
        <v>22</v>
      </c>
      <c r="F765" s="75" t="s">
        <v>251</v>
      </c>
      <c r="G765" s="75" t="s">
        <v>241</v>
      </c>
      <c r="H765" s="75">
        <v>1</v>
      </c>
      <c r="I765" s="76">
        <v>4731</v>
      </c>
      <c r="J765" s="75" t="s">
        <v>248</v>
      </c>
      <c r="K765" s="77">
        <v>8</v>
      </c>
      <c r="L765" s="78" t="s">
        <v>193</v>
      </c>
      <c r="M765" s="75" t="s">
        <v>1018</v>
      </c>
      <c r="N765" s="82">
        <v>756.96</v>
      </c>
    </row>
    <row r="766" spans="2:14" x14ac:dyDescent="0.25">
      <c r="B766" s="74" t="s">
        <v>1035</v>
      </c>
      <c r="C766" s="75">
        <v>30230241</v>
      </c>
      <c r="D766" s="75" t="s">
        <v>239</v>
      </c>
      <c r="E766" s="75">
        <v>51</v>
      </c>
      <c r="F766" s="75" t="s">
        <v>251</v>
      </c>
      <c r="G766" s="75" t="s">
        <v>247</v>
      </c>
      <c r="H766" s="75">
        <v>0</v>
      </c>
      <c r="I766" s="76">
        <v>6713</v>
      </c>
      <c r="J766" s="75" t="s">
        <v>248</v>
      </c>
      <c r="K766" s="77">
        <v>8</v>
      </c>
      <c r="L766" s="78" t="s">
        <v>215</v>
      </c>
      <c r="M766" s="75" t="s">
        <v>1018</v>
      </c>
      <c r="N766" s="82">
        <v>1074.08</v>
      </c>
    </row>
    <row r="767" spans="2:14" x14ac:dyDescent="0.25">
      <c r="B767" s="74" t="s">
        <v>1036</v>
      </c>
      <c r="C767" s="75">
        <v>32739023</v>
      </c>
      <c r="D767" s="75" t="s">
        <v>254</v>
      </c>
      <c r="E767" s="75">
        <v>61</v>
      </c>
      <c r="F767" s="75" t="s">
        <v>251</v>
      </c>
      <c r="G767" s="75" t="s">
        <v>247</v>
      </c>
      <c r="H767" s="75">
        <v>1</v>
      </c>
      <c r="I767" s="76">
        <v>2483</v>
      </c>
      <c r="J767" s="75" t="s">
        <v>269</v>
      </c>
      <c r="K767" s="77">
        <v>8</v>
      </c>
      <c r="L767" s="78" t="s">
        <v>279</v>
      </c>
      <c r="M767" s="75" t="s">
        <v>1018</v>
      </c>
      <c r="N767" s="82">
        <v>397.28</v>
      </c>
    </row>
    <row r="768" spans="2:14" x14ac:dyDescent="0.25">
      <c r="B768" s="74" t="s">
        <v>1037</v>
      </c>
      <c r="C768" s="75">
        <v>37400625</v>
      </c>
      <c r="D768" s="75" t="s">
        <v>239</v>
      </c>
      <c r="E768" s="75">
        <v>65</v>
      </c>
      <c r="F768" s="75" t="s">
        <v>251</v>
      </c>
      <c r="G768" s="75" t="s">
        <v>258</v>
      </c>
      <c r="H768" s="75">
        <v>4</v>
      </c>
      <c r="I768" s="76">
        <v>2969</v>
      </c>
      <c r="J768" s="75" t="s">
        <v>262</v>
      </c>
      <c r="K768" s="77">
        <v>8</v>
      </c>
      <c r="L768" s="78" t="s">
        <v>214</v>
      </c>
      <c r="M768" s="75" t="s">
        <v>1018</v>
      </c>
      <c r="N768" s="82">
        <v>475.04</v>
      </c>
    </row>
    <row r="769" spans="2:14" x14ac:dyDescent="0.25">
      <c r="B769" s="74" t="s">
        <v>1038</v>
      </c>
      <c r="C769" s="75">
        <v>57927041</v>
      </c>
      <c r="D769" s="75" t="s">
        <v>254</v>
      </c>
      <c r="E769" s="75">
        <v>63</v>
      </c>
      <c r="F769" s="75" t="s">
        <v>246</v>
      </c>
      <c r="G769" s="75" t="s">
        <v>247</v>
      </c>
      <c r="H769" s="75">
        <v>1</v>
      </c>
      <c r="I769" s="76">
        <v>7406</v>
      </c>
      <c r="J769" s="75" t="s">
        <v>248</v>
      </c>
      <c r="K769" s="77">
        <v>8</v>
      </c>
      <c r="L769" s="78" t="s">
        <v>210</v>
      </c>
      <c r="M769" s="75" t="s">
        <v>1018</v>
      </c>
      <c r="N769" s="82">
        <v>1184.96</v>
      </c>
    </row>
    <row r="770" spans="2:14" x14ac:dyDescent="0.25">
      <c r="B770" s="74" t="s">
        <v>1039</v>
      </c>
      <c r="C770" s="75">
        <v>31819043</v>
      </c>
      <c r="D770" s="75" t="s">
        <v>254</v>
      </c>
      <c r="E770" s="75">
        <v>62</v>
      </c>
      <c r="F770" s="75" t="s">
        <v>251</v>
      </c>
      <c r="G770" s="75" t="s">
        <v>241</v>
      </c>
      <c r="H770" s="75">
        <v>1</v>
      </c>
      <c r="I770" s="76">
        <v>7521</v>
      </c>
      <c r="J770" s="75" t="s">
        <v>262</v>
      </c>
      <c r="K770" s="77">
        <v>8</v>
      </c>
      <c r="L770" s="78" t="s">
        <v>209</v>
      </c>
      <c r="M770" s="75" t="s">
        <v>1018</v>
      </c>
      <c r="N770" s="82">
        <v>1203.3599999999999</v>
      </c>
    </row>
    <row r="771" spans="2:14" x14ac:dyDescent="0.25">
      <c r="B771" s="74" t="s">
        <v>1040</v>
      </c>
      <c r="C771" s="75">
        <v>66360385</v>
      </c>
      <c r="D771" s="75" t="s">
        <v>254</v>
      </c>
      <c r="E771" s="75">
        <v>35</v>
      </c>
      <c r="F771" s="75" t="s">
        <v>251</v>
      </c>
      <c r="G771" s="75" t="s">
        <v>258</v>
      </c>
      <c r="H771" s="75">
        <v>4</v>
      </c>
      <c r="I771" s="76">
        <v>3838</v>
      </c>
      <c r="J771" s="75" t="s">
        <v>248</v>
      </c>
      <c r="K771" s="77">
        <v>8</v>
      </c>
      <c r="L771" s="78" t="s">
        <v>209</v>
      </c>
      <c r="M771" s="75" t="s">
        <v>1018</v>
      </c>
      <c r="N771" s="82">
        <v>614.08000000000004</v>
      </c>
    </row>
    <row r="772" spans="2:14" x14ac:dyDescent="0.25">
      <c r="B772" s="74" t="s">
        <v>1041</v>
      </c>
      <c r="C772" s="75">
        <v>46208801</v>
      </c>
      <c r="D772" s="75" t="s">
        <v>239</v>
      </c>
      <c r="E772" s="75">
        <v>63</v>
      </c>
      <c r="F772" s="75" t="s">
        <v>246</v>
      </c>
      <c r="G772" s="75" t="s">
        <v>252</v>
      </c>
      <c r="H772" s="75">
        <v>1</v>
      </c>
      <c r="I772" s="76">
        <v>7206</v>
      </c>
      <c r="J772" s="75" t="s">
        <v>248</v>
      </c>
      <c r="K772" s="77">
        <v>8</v>
      </c>
      <c r="L772" s="78" t="s">
        <v>214</v>
      </c>
      <c r="M772" s="75" t="s">
        <v>1018</v>
      </c>
      <c r="N772" s="82">
        <v>1152.96</v>
      </c>
    </row>
    <row r="773" spans="2:14" x14ac:dyDescent="0.25">
      <c r="B773" s="74" t="s">
        <v>1042</v>
      </c>
      <c r="C773" s="75">
        <v>51986112</v>
      </c>
      <c r="D773" s="75" t="s">
        <v>254</v>
      </c>
      <c r="E773" s="75">
        <v>23</v>
      </c>
      <c r="F773" s="75" t="s">
        <v>246</v>
      </c>
      <c r="G773" s="75" t="s">
        <v>247</v>
      </c>
      <c r="H773" s="75">
        <v>1</v>
      </c>
      <c r="I773" s="76">
        <v>4677</v>
      </c>
      <c r="J773" s="75" t="s">
        <v>262</v>
      </c>
      <c r="K773" s="77">
        <v>8</v>
      </c>
      <c r="L773" s="78" t="s">
        <v>214</v>
      </c>
      <c r="M773" s="75" t="s">
        <v>1018</v>
      </c>
      <c r="N773" s="82">
        <v>748.32</v>
      </c>
    </row>
    <row r="774" spans="2:14" x14ac:dyDescent="0.25">
      <c r="B774" s="74" t="s">
        <v>1043</v>
      </c>
      <c r="C774" s="75">
        <v>48129887</v>
      </c>
      <c r="D774" s="75" t="s">
        <v>239</v>
      </c>
      <c r="E774" s="75">
        <v>58</v>
      </c>
      <c r="F774" s="75" t="s">
        <v>251</v>
      </c>
      <c r="G774" s="75" t="s">
        <v>258</v>
      </c>
      <c r="H774" s="75">
        <v>1</v>
      </c>
      <c r="I774" s="76">
        <v>2778</v>
      </c>
      <c r="J774" s="75" t="s">
        <v>269</v>
      </c>
      <c r="K774" s="77">
        <v>7</v>
      </c>
      <c r="L774" s="78" t="s">
        <v>279</v>
      </c>
      <c r="M774" s="75" t="s">
        <v>1018</v>
      </c>
      <c r="N774" s="82">
        <v>388.92</v>
      </c>
    </row>
    <row r="775" spans="2:14" x14ac:dyDescent="0.25">
      <c r="B775" s="74" t="s">
        <v>1044</v>
      </c>
      <c r="C775" s="75">
        <v>23405812</v>
      </c>
      <c r="D775" s="75" t="s">
        <v>239</v>
      </c>
      <c r="E775" s="75">
        <v>58</v>
      </c>
      <c r="F775" s="75" t="s">
        <v>240</v>
      </c>
      <c r="G775" s="75" t="s">
        <v>241</v>
      </c>
      <c r="H775" s="75">
        <v>2</v>
      </c>
      <c r="I775" s="76">
        <v>6965</v>
      </c>
      <c r="J775" s="75" t="s">
        <v>248</v>
      </c>
      <c r="K775" s="77">
        <v>7</v>
      </c>
      <c r="L775" s="78" t="s">
        <v>212</v>
      </c>
      <c r="M775" s="75" t="s">
        <v>1018</v>
      </c>
      <c r="N775" s="82">
        <v>975.1</v>
      </c>
    </row>
    <row r="776" spans="2:14" x14ac:dyDescent="0.25">
      <c r="B776" s="74" t="s">
        <v>1045</v>
      </c>
      <c r="C776" s="75">
        <v>53761870</v>
      </c>
      <c r="D776" s="75" t="s">
        <v>254</v>
      </c>
      <c r="E776" s="75">
        <v>45</v>
      </c>
      <c r="F776" s="75" t="s">
        <v>240</v>
      </c>
      <c r="G776" s="75" t="s">
        <v>252</v>
      </c>
      <c r="H776" s="75">
        <v>2</v>
      </c>
      <c r="I776" s="76">
        <v>5029</v>
      </c>
      <c r="J776" s="75" t="s">
        <v>256</v>
      </c>
      <c r="K776" s="77">
        <v>7</v>
      </c>
      <c r="L776" s="78" t="s">
        <v>215</v>
      </c>
      <c r="M776" s="75" t="s">
        <v>1018</v>
      </c>
      <c r="N776" s="82">
        <v>704.06</v>
      </c>
    </row>
    <row r="777" spans="2:14" x14ac:dyDescent="0.25">
      <c r="B777" s="74" t="s">
        <v>1046</v>
      </c>
      <c r="C777" s="75">
        <v>47433271</v>
      </c>
      <c r="D777" s="75" t="s">
        <v>239</v>
      </c>
      <c r="E777" s="75">
        <v>57</v>
      </c>
      <c r="F777" s="75" t="s">
        <v>251</v>
      </c>
      <c r="G777" s="75" t="s">
        <v>241</v>
      </c>
      <c r="H777" s="75">
        <v>2</v>
      </c>
      <c r="I777" s="76">
        <v>5256</v>
      </c>
      <c r="J777" s="75" t="s">
        <v>242</v>
      </c>
      <c r="K777" s="77">
        <v>7</v>
      </c>
      <c r="L777" s="78" t="s">
        <v>213</v>
      </c>
      <c r="M777" s="75" t="s">
        <v>1018</v>
      </c>
      <c r="N777" s="82">
        <v>735.84</v>
      </c>
    </row>
    <row r="778" spans="2:14" x14ac:dyDescent="0.25">
      <c r="B778" s="74" t="s">
        <v>1047</v>
      </c>
      <c r="C778" s="75">
        <v>21668505</v>
      </c>
      <c r="D778" s="75" t="s">
        <v>239</v>
      </c>
      <c r="E778" s="75">
        <v>26</v>
      </c>
      <c r="F778" s="75" t="s">
        <v>251</v>
      </c>
      <c r="G778" s="75" t="s">
        <v>241</v>
      </c>
      <c r="H778" s="75">
        <v>2</v>
      </c>
      <c r="I778" s="76">
        <v>9148</v>
      </c>
      <c r="J778" s="75" t="s">
        <v>242</v>
      </c>
      <c r="K778" s="77">
        <v>7</v>
      </c>
      <c r="L778" s="78" t="s">
        <v>214</v>
      </c>
      <c r="M778" s="75" t="s">
        <v>1018</v>
      </c>
      <c r="N778" s="82">
        <v>1280.72</v>
      </c>
    </row>
    <row r="779" spans="2:14" x14ac:dyDescent="0.25">
      <c r="B779" s="74" t="s">
        <v>1048</v>
      </c>
      <c r="C779" s="75">
        <v>44064105</v>
      </c>
      <c r="D779" s="75" t="s">
        <v>254</v>
      </c>
      <c r="E779" s="75">
        <v>34</v>
      </c>
      <c r="F779" s="75" t="s">
        <v>246</v>
      </c>
      <c r="G779" s="75" t="s">
        <v>252</v>
      </c>
      <c r="H779" s="75">
        <v>4</v>
      </c>
      <c r="I779" s="76">
        <v>6233</v>
      </c>
      <c r="J779" s="75" t="s">
        <v>262</v>
      </c>
      <c r="K779" s="77">
        <v>7</v>
      </c>
      <c r="L779" s="78" t="s">
        <v>215</v>
      </c>
      <c r="M779" s="75" t="s">
        <v>1018</v>
      </c>
      <c r="N779" s="82">
        <v>872.62</v>
      </c>
    </row>
    <row r="780" spans="2:14" x14ac:dyDescent="0.25">
      <c r="B780" s="74" t="s">
        <v>1049</v>
      </c>
      <c r="C780" s="75">
        <v>51505362</v>
      </c>
      <c r="D780" s="75" t="s">
        <v>239</v>
      </c>
      <c r="E780" s="75">
        <v>30</v>
      </c>
      <c r="F780" s="75" t="s">
        <v>251</v>
      </c>
      <c r="G780" s="75" t="s">
        <v>258</v>
      </c>
      <c r="H780" s="75">
        <v>1</v>
      </c>
      <c r="I780" s="76">
        <v>5806</v>
      </c>
      <c r="J780" s="75" t="s">
        <v>269</v>
      </c>
      <c r="K780" s="77">
        <v>7</v>
      </c>
      <c r="L780" s="78" t="s">
        <v>271</v>
      </c>
      <c r="M780" s="75" t="s">
        <v>1018</v>
      </c>
      <c r="N780" s="82">
        <v>812.84</v>
      </c>
    </row>
    <row r="781" spans="2:14" x14ac:dyDescent="0.25">
      <c r="B781" s="74" t="s">
        <v>1050</v>
      </c>
      <c r="C781" s="75">
        <v>21818709</v>
      </c>
      <c r="D781" s="75" t="s">
        <v>254</v>
      </c>
      <c r="E781" s="75">
        <v>36</v>
      </c>
      <c r="F781" s="75" t="s">
        <v>255</v>
      </c>
      <c r="G781" s="75" t="s">
        <v>241</v>
      </c>
      <c r="H781" s="75">
        <v>0</v>
      </c>
      <c r="I781" s="76">
        <v>4312</v>
      </c>
      <c r="J781" s="75" t="s">
        <v>262</v>
      </c>
      <c r="K781" s="77">
        <v>7</v>
      </c>
      <c r="L781" s="78" t="s">
        <v>210</v>
      </c>
      <c r="M781" s="75" t="s">
        <v>1018</v>
      </c>
      <c r="N781" s="82">
        <v>603.67999999999995</v>
      </c>
    </row>
    <row r="782" spans="2:14" x14ac:dyDescent="0.25">
      <c r="B782" s="74" t="s">
        <v>1051</v>
      </c>
      <c r="C782" s="75">
        <v>52773041</v>
      </c>
      <c r="D782" s="75" t="s">
        <v>239</v>
      </c>
      <c r="E782" s="75">
        <v>44</v>
      </c>
      <c r="F782" s="75" t="s">
        <v>251</v>
      </c>
      <c r="G782" s="75" t="s">
        <v>247</v>
      </c>
      <c r="H782" s="75">
        <v>1</v>
      </c>
      <c r="I782" s="76">
        <v>6966</v>
      </c>
      <c r="J782" s="75" t="s">
        <v>242</v>
      </c>
      <c r="K782" s="77">
        <v>7</v>
      </c>
      <c r="L782" s="78" t="s">
        <v>271</v>
      </c>
      <c r="M782" s="75" t="s">
        <v>1018</v>
      </c>
      <c r="N782" s="82">
        <v>975.24</v>
      </c>
    </row>
    <row r="783" spans="2:14" x14ac:dyDescent="0.25">
      <c r="B783" s="74" t="s">
        <v>1052</v>
      </c>
      <c r="C783" s="75">
        <v>49420447</v>
      </c>
      <c r="D783" s="75" t="s">
        <v>254</v>
      </c>
      <c r="E783" s="75">
        <v>34</v>
      </c>
      <c r="F783" s="75" t="s">
        <v>246</v>
      </c>
      <c r="G783" s="75" t="s">
        <v>258</v>
      </c>
      <c r="H783" s="75">
        <v>4</v>
      </c>
      <c r="I783" s="76">
        <v>4921</v>
      </c>
      <c r="J783" s="75" t="s">
        <v>262</v>
      </c>
      <c r="K783" s="77">
        <v>7</v>
      </c>
      <c r="L783" s="78" t="s">
        <v>243</v>
      </c>
      <c r="M783" s="75" t="s">
        <v>1018</v>
      </c>
      <c r="N783" s="82">
        <v>688.94</v>
      </c>
    </row>
    <row r="784" spans="2:14" x14ac:dyDescent="0.25">
      <c r="B784" s="74" t="s">
        <v>1053</v>
      </c>
      <c r="C784" s="75">
        <v>67430745</v>
      </c>
      <c r="D784" s="75" t="s">
        <v>239</v>
      </c>
      <c r="E784" s="75">
        <v>24</v>
      </c>
      <c r="F784" s="75" t="s">
        <v>255</v>
      </c>
      <c r="G784" s="75" t="s">
        <v>241</v>
      </c>
      <c r="H784" s="75">
        <v>3</v>
      </c>
      <c r="I784" s="76">
        <v>3123</v>
      </c>
      <c r="J784" s="75" t="s">
        <v>256</v>
      </c>
      <c r="K784" s="77">
        <v>7</v>
      </c>
      <c r="L784" s="78" t="s">
        <v>203</v>
      </c>
      <c r="M784" s="75" t="s">
        <v>1018</v>
      </c>
      <c r="N784" s="82">
        <v>437.22</v>
      </c>
    </row>
    <row r="785" spans="2:14" x14ac:dyDescent="0.25">
      <c r="B785" s="74" t="s">
        <v>1054</v>
      </c>
      <c r="C785" s="75">
        <v>54036190</v>
      </c>
      <c r="D785" s="75" t="s">
        <v>239</v>
      </c>
      <c r="E785" s="75">
        <v>47</v>
      </c>
      <c r="F785" s="75" t="s">
        <v>240</v>
      </c>
      <c r="G785" s="75" t="s">
        <v>247</v>
      </c>
      <c r="H785" s="75">
        <v>2</v>
      </c>
      <c r="I785" s="76">
        <v>4022</v>
      </c>
      <c r="J785" s="75" t="s">
        <v>242</v>
      </c>
      <c r="K785" s="77">
        <v>7</v>
      </c>
      <c r="L785" s="78" t="s">
        <v>203</v>
      </c>
      <c r="M785" s="75" t="s">
        <v>1018</v>
      </c>
      <c r="N785" s="82">
        <v>563.08000000000004</v>
      </c>
    </row>
    <row r="786" spans="2:14" x14ac:dyDescent="0.25">
      <c r="B786" s="74" t="s">
        <v>1055</v>
      </c>
      <c r="C786" s="75">
        <v>59115603</v>
      </c>
      <c r="D786" s="75" t="s">
        <v>239</v>
      </c>
      <c r="E786" s="75">
        <v>21</v>
      </c>
      <c r="F786" s="75" t="s">
        <v>251</v>
      </c>
      <c r="G786" s="75" t="s">
        <v>241</v>
      </c>
      <c r="H786" s="75">
        <v>3</v>
      </c>
      <c r="I786" s="76">
        <v>2571</v>
      </c>
      <c r="J786" s="75" t="s">
        <v>248</v>
      </c>
      <c r="K786" s="77">
        <v>7</v>
      </c>
      <c r="L786" s="78" t="s">
        <v>263</v>
      </c>
      <c r="M786" s="75" t="s">
        <v>1018</v>
      </c>
      <c r="N786" s="82">
        <v>359.94</v>
      </c>
    </row>
    <row r="787" spans="2:14" x14ac:dyDescent="0.25">
      <c r="B787" s="74" t="s">
        <v>1056</v>
      </c>
      <c r="C787" s="75">
        <v>56517445</v>
      </c>
      <c r="D787" s="75" t="s">
        <v>239</v>
      </c>
      <c r="E787" s="75">
        <v>42</v>
      </c>
      <c r="F787" s="75" t="s">
        <v>240</v>
      </c>
      <c r="G787" s="75" t="s">
        <v>241</v>
      </c>
      <c r="H787" s="75">
        <v>2</v>
      </c>
      <c r="I787" s="76">
        <v>6312</v>
      </c>
      <c r="J787" s="75" t="s">
        <v>242</v>
      </c>
      <c r="K787" s="77">
        <v>7</v>
      </c>
      <c r="L787" s="78" t="s">
        <v>243</v>
      </c>
      <c r="M787" s="75" t="s">
        <v>1018</v>
      </c>
      <c r="N787" s="82">
        <v>883.68</v>
      </c>
    </row>
    <row r="788" spans="2:14" x14ac:dyDescent="0.25">
      <c r="B788" s="74" t="s">
        <v>1057</v>
      </c>
      <c r="C788" s="75">
        <v>26890623</v>
      </c>
      <c r="D788" s="75" t="s">
        <v>239</v>
      </c>
      <c r="E788" s="75">
        <v>52</v>
      </c>
      <c r="F788" s="75" t="s">
        <v>246</v>
      </c>
      <c r="G788" s="75" t="s">
        <v>252</v>
      </c>
      <c r="H788" s="75">
        <v>3</v>
      </c>
      <c r="I788" s="76">
        <v>3471</v>
      </c>
      <c r="J788" s="75" t="s">
        <v>262</v>
      </c>
      <c r="K788" s="77">
        <v>6</v>
      </c>
      <c r="L788" s="78" t="s">
        <v>279</v>
      </c>
      <c r="M788" s="75" t="s">
        <v>1018</v>
      </c>
      <c r="N788" s="82">
        <v>416.52</v>
      </c>
    </row>
    <row r="789" spans="2:14" x14ac:dyDescent="0.25">
      <c r="B789" s="74" t="s">
        <v>1058</v>
      </c>
      <c r="C789" s="75">
        <v>36035637</v>
      </c>
      <c r="D789" s="75" t="s">
        <v>239</v>
      </c>
      <c r="E789" s="75">
        <v>41</v>
      </c>
      <c r="F789" s="75" t="s">
        <v>246</v>
      </c>
      <c r="G789" s="75" t="s">
        <v>252</v>
      </c>
      <c r="H789" s="75">
        <v>1</v>
      </c>
      <c r="I789" s="76">
        <v>5816</v>
      </c>
      <c r="J789" s="75" t="s">
        <v>248</v>
      </c>
      <c r="K789" s="77">
        <v>6</v>
      </c>
      <c r="L789" s="78" t="s">
        <v>271</v>
      </c>
      <c r="M789" s="75" t="s">
        <v>1018</v>
      </c>
      <c r="N789" s="82">
        <v>697.92</v>
      </c>
    </row>
    <row r="790" spans="2:14" x14ac:dyDescent="0.25">
      <c r="B790" s="74" t="s">
        <v>1059</v>
      </c>
      <c r="C790" s="75">
        <v>65009622</v>
      </c>
      <c r="D790" s="75" t="s">
        <v>239</v>
      </c>
      <c r="E790" s="75">
        <v>65</v>
      </c>
      <c r="F790" s="75" t="s">
        <v>240</v>
      </c>
      <c r="G790" s="75" t="s">
        <v>258</v>
      </c>
      <c r="H790" s="75">
        <v>2</v>
      </c>
      <c r="I790" s="76">
        <v>6157</v>
      </c>
      <c r="J790" s="75" t="s">
        <v>248</v>
      </c>
      <c r="K790" s="77">
        <v>6</v>
      </c>
      <c r="L790" s="78" t="s">
        <v>279</v>
      </c>
      <c r="M790" s="75" t="s">
        <v>1018</v>
      </c>
      <c r="N790" s="82">
        <v>738.84</v>
      </c>
    </row>
    <row r="791" spans="2:14" x14ac:dyDescent="0.25">
      <c r="B791" s="74" t="s">
        <v>1060</v>
      </c>
      <c r="C791" s="75">
        <v>63354320</v>
      </c>
      <c r="D791" s="75" t="s">
        <v>239</v>
      </c>
      <c r="E791" s="75">
        <v>36</v>
      </c>
      <c r="F791" s="75" t="s">
        <v>246</v>
      </c>
      <c r="G791" s="75" t="s">
        <v>252</v>
      </c>
      <c r="H791" s="75">
        <v>4</v>
      </c>
      <c r="I791" s="76">
        <v>9957</v>
      </c>
      <c r="J791" s="75" t="s">
        <v>242</v>
      </c>
      <c r="K791" s="77">
        <v>6</v>
      </c>
      <c r="L791" s="78" t="s">
        <v>263</v>
      </c>
      <c r="M791" s="75" t="s">
        <v>1018</v>
      </c>
      <c r="N791" s="82">
        <v>1194.8399999999999</v>
      </c>
    </row>
    <row r="792" spans="2:14" x14ac:dyDescent="0.25">
      <c r="B792" s="74" t="s">
        <v>1061</v>
      </c>
      <c r="C792" s="75">
        <v>38856478</v>
      </c>
      <c r="D792" s="75" t="s">
        <v>239</v>
      </c>
      <c r="E792" s="75">
        <v>21</v>
      </c>
      <c r="F792" s="75" t="s">
        <v>251</v>
      </c>
      <c r="G792" s="75" t="s">
        <v>247</v>
      </c>
      <c r="H792" s="75">
        <v>0</v>
      </c>
      <c r="I792" s="76">
        <v>2365</v>
      </c>
      <c r="J792" s="75" t="s">
        <v>256</v>
      </c>
      <c r="K792" s="77">
        <v>6</v>
      </c>
      <c r="L792" s="78" t="s">
        <v>271</v>
      </c>
      <c r="M792" s="75" t="s">
        <v>1018</v>
      </c>
      <c r="N792" s="82">
        <v>283.8</v>
      </c>
    </row>
    <row r="793" spans="2:14" x14ac:dyDescent="0.25">
      <c r="B793" s="74" t="s">
        <v>1062</v>
      </c>
      <c r="C793" s="75">
        <v>33521423</v>
      </c>
      <c r="D793" s="75" t="s">
        <v>239</v>
      </c>
      <c r="E793" s="75">
        <v>25</v>
      </c>
      <c r="F793" s="75" t="s">
        <v>240</v>
      </c>
      <c r="G793" s="75" t="s">
        <v>258</v>
      </c>
      <c r="H793" s="75">
        <v>0</v>
      </c>
      <c r="I793" s="76">
        <v>9550</v>
      </c>
      <c r="J793" s="75" t="s">
        <v>248</v>
      </c>
      <c r="K793" s="77">
        <v>6</v>
      </c>
      <c r="L793" s="78" t="s">
        <v>203</v>
      </c>
      <c r="M793" s="75" t="s">
        <v>1018</v>
      </c>
      <c r="N793" s="82">
        <v>1146</v>
      </c>
    </row>
    <row r="794" spans="2:14" x14ac:dyDescent="0.25">
      <c r="B794" s="74" t="s">
        <v>1063</v>
      </c>
      <c r="C794" s="75">
        <v>41101483</v>
      </c>
      <c r="D794" s="75" t="s">
        <v>239</v>
      </c>
      <c r="E794" s="75">
        <v>32</v>
      </c>
      <c r="F794" s="75" t="s">
        <v>240</v>
      </c>
      <c r="G794" s="75" t="s">
        <v>258</v>
      </c>
      <c r="H794" s="75">
        <v>1</v>
      </c>
      <c r="I794" s="76">
        <v>7511</v>
      </c>
      <c r="J794" s="75" t="s">
        <v>256</v>
      </c>
      <c r="K794" s="77">
        <v>6</v>
      </c>
      <c r="L794" s="78" t="s">
        <v>203</v>
      </c>
      <c r="M794" s="75" t="s">
        <v>1018</v>
      </c>
      <c r="N794" s="82">
        <v>901.32</v>
      </c>
    </row>
    <row r="795" spans="2:14" x14ac:dyDescent="0.25">
      <c r="B795" s="74" t="s">
        <v>1064</v>
      </c>
      <c r="C795" s="75">
        <v>40846675</v>
      </c>
      <c r="D795" s="75" t="s">
        <v>239</v>
      </c>
      <c r="E795" s="75">
        <v>38</v>
      </c>
      <c r="F795" s="75" t="s">
        <v>246</v>
      </c>
      <c r="G795" s="75" t="s">
        <v>241</v>
      </c>
      <c r="H795" s="75">
        <v>1</v>
      </c>
      <c r="I795" s="76">
        <v>3200</v>
      </c>
      <c r="J795" s="75" t="s">
        <v>256</v>
      </c>
      <c r="K795" s="77">
        <v>6</v>
      </c>
      <c r="L795" s="78" t="s">
        <v>212</v>
      </c>
      <c r="M795" s="75" t="s">
        <v>1018</v>
      </c>
      <c r="N795" s="82">
        <v>384</v>
      </c>
    </row>
    <row r="796" spans="2:14" x14ac:dyDescent="0.25">
      <c r="B796" s="74" t="s">
        <v>1065</v>
      </c>
      <c r="C796" s="75">
        <v>24026579</v>
      </c>
      <c r="D796" s="75" t="s">
        <v>254</v>
      </c>
      <c r="E796" s="75">
        <v>41</v>
      </c>
      <c r="F796" s="75" t="s">
        <v>240</v>
      </c>
      <c r="G796" s="75" t="s">
        <v>258</v>
      </c>
      <c r="H796" s="75">
        <v>0</v>
      </c>
      <c r="I796" s="76">
        <v>8417</v>
      </c>
      <c r="J796" s="75" t="s">
        <v>248</v>
      </c>
      <c r="K796" s="77">
        <v>6</v>
      </c>
      <c r="L796" s="78" t="s">
        <v>210</v>
      </c>
      <c r="M796" s="75" t="s">
        <v>1018</v>
      </c>
      <c r="N796" s="82">
        <v>1010.04</v>
      </c>
    </row>
    <row r="797" spans="2:14" x14ac:dyDescent="0.25">
      <c r="B797" s="74" t="s">
        <v>1066</v>
      </c>
      <c r="C797" s="75">
        <v>60615351</v>
      </c>
      <c r="D797" s="75" t="s">
        <v>254</v>
      </c>
      <c r="E797" s="75">
        <v>61</v>
      </c>
      <c r="F797" s="75" t="s">
        <v>255</v>
      </c>
      <c r="G797" s="75" t="s">
        <v>241</v>
      </c>
      <c r="H797" s="75">
        <v>0</v>
      </c>
      <c r="I797" s="76">
        <v>6655</v>
      </c>
      <c r="J797" s="75" t="s">
        <v>256</v>
      </c>
      <c r="K797" s="77">
        <v>6</v>
      </c>
      <c r="L797" s="78" t="s">
        <v>279</v>
      </c>
      <c r="M797" s="75" t="s">
        <v>1018</v>
      </c>
      <c r="N797" s="82">
        <v>798.6</v>
      </c>
    </row>
    <row r="798" spans="2:14" x14ac:dyDescent="0.25">
      <c r="B798" s="74" t="s">
        <v>1067</v>
      </c>
      <c r="C798" s="75">
        <v>64105905</v>
      </c>
      <c r="D798" s="75" t="s">
        <v>239</v>
      </c>
      <c r="E798" s="75">
        <v>52</v>
      </c>
      <c r="F798" s="75" t="s">
        <v>240</v>
      </c>
      <c r="G798" s="75" t="s">
        <v>258</v>
      </c>
      <c r="H798" s="75">
        <v>4</v>
      </c>
      <c r="I798" s="76">
        <v>4215</v>
      </c>
      <c r="J798" s="75" t="s">
        <v>269</v>
      </c>
      <c r="K798" s="77">
        <v>6</v>
      </c>
      <c r="L798" s="78" t="s">
        <v>209</v>
      </c>
      <c r="M798" s="75" t="s">
        <v>1018</v>
      </c>
      <c r="N798" s="82">
        <v>505.8</v>
      </c>
    </row>
    <row r="799" spans="2:14" x14ac:dyDescent="0.25">
      <c r="B799" s="74" t="s">
        <v>1068</v>
      </c>
      <c r="C799" s="75">
        <v>23567521</v>
      </c>
      <c r="D799" s="75" t="s">
        <v>254</v>
      </c>
      <c r="E799" s="75">
        <v>51</v>
      </c>
      <c r="F799" s="75" t="s">
        <v>255</v>
      </c>
      <c r="G799" s="75" t="s">
        <v>247</v>
      </c>
      <c r="H799" s="75">
        <v>1</v>
      </c>
      <c r="I799" s="76">
        <v>9299</v>
      </c>
      <c r="J799" s="75" t="s">
        <v>262</v>
      </c>
      <c r="K799" s="77">
        <v>6</v>
      </c>
      <c r="L799" s="78" t="s">
        <v>213</v>
      </c>
      <c r="M799" s="75" t="s">
        <v>1018</v>
      </c>
      <c r="N799" s="82">
        <v>1115.8800000000001</v>
      </c>
    </row>
    <row r="800" spans="2:14" x14ac:dyDescent="0.25">
      <c r="B800" s="74" t="s">
        <v>1069</v>
      </c>
      <c r="C800" s="75">
        <v>33928872</v>
      </c>
      <c r="D800" s="75" t="s">
        <v>239</v>
      </c>
      <c r="E800" s="75">
        <v>44</v>
      </c>
      <c r="F800" s="75" t="s">
        <v>246</v>
      </c>
      <c r="G800" s="75" t="s">
        <v>241</v>
      </c>
      <c r="H800" s="75">
        <v>2</v>
      </c>
      <c r="I800" s="76">
        <v>7932</v>
      </c>
      <c r="J800" s="75" t="s">
        <v>242</v>
      </c>
      <c r="K800" s="77">
        <v>6</v>
      </c>
      <c r="L800" s="78" t="s">
        <v>215</v>
      </c>
      <c r="M800" s="75" t="s">
        <v>1018</v>
      </c>
      <c r="N800" s="82">
        <v>951.84</v>
      </c>
    </row>
    <row r="801" spans="2:14" x14ac:dyDescent="0.25">
      <c r="B801" s="74" t="s">
        <v>1070</v>
      </c>
      <c r="C801" s="75">
        <v>51777684</v>
      </c>
      <c r="D801" s="75" t="s">
        <v>254</v>
      </c>
      <c r="E801" s="75">
        <v>23</v>
      </c>
      <c r="F801" s="75" t="s">
        <v>251</v>
      </c>
      <c r="G801" s="75" t="s">
        <v>247</v>
      </c>
      <c r="H801" s="75">
        <v>1</v>
      </c>
      <c r="I801" s="76">
        <v>9975</v>
      </c>
      <c r="J801" s="75" t="s">
        <v>242</v>
      </c>
      <c r="K801" s="77">
        <v>6</v>
      </c>
      <c r="L801" s="78" t="s">
        <v>279</v>
      </c>
      <c r="M801" s="75" t="s">
        <v>1018</v>
      </c>
      <c r="N801" s="82">
        <v>1197</v>
      </c>
    </row>
    <row r="802" spans="2:14" x14ac:dyDescent="0.25">
      <c r="B802" s="74" t="s">
        <v>1071</v>
      </c>
      <c r="C802" s="75">
        <v>43619904</v>
      </c>
      <c r="D802" s="75" t="s">
        <v>239</v>
      </c>
      <c r="E802" s="75">
        <v>46</v>
      </c>
      <c r="F802" s="75" t="s">
        <v>240</v>
      </c>
      <c r="G802" s="75" t="s">
        <v>241</v>
      </c>
      <c r="H802" s="75">
        <v>2</v>
      </c>
      <c r="I802" s="76">
        <v>4340</v>
      </c>
      <c r="J802" s="75" t="s">
        <v>256</v>
      </c>
      <c r="K802" s="77">
        <v>6</v>
      </c>
      <c r="L802" s="78" t="s">
        <v>243</v>
      </c>
      <c r="M802" s="75" t="s">
        <v>1018</v>
      </c>
      <c r="N802" s="82">
        <v>520.79999999999995</v>
      </c>
    </row>
    <row r="803" spans="2:14" x14ac:dyDescent="0.25">
      <c r="B803" s="74" t="s">
        <v>1072</v>
      </c>
      <c r="C803" s="75">
        <v>32133443</v>
      </c>
      <c r="D803" s="75" t="s">
        <v>239</v>
      </c>
      <c r="E803" s="75">
        <v>49</v>
      </c>
      <c r="F803" s="75" t="s">
        <v>246</v>
      </c>
      <c r="G803" s="75" t="s">
        <v>247</v>
      </c>
      <c r="H803" s="75">
        <v>1</v>
      </c>
      <c r="I803" s="76">
        <v>3202</v>
      </c>
      <c r="J803" s="75" t="s">
        <v>262</v>
      </c>
      <c r="K803" s="77">
        <v>6</v>
      </c>
      <c r="L803" s="78" t="s">
        <v>279</v>
      </c>
      <c r="M803" s="75" t="s">
        <v>1018</v>
      </c>
      <c r="N803" s="82">
        <v>384.24</v>
      </c>
    </row>
    <row r="804" spans="2:14" x14ac:dyDescent="0.25">
      <c r="B804" s="74" t="s">
        <v>1073</v>
      </c>
      <c r="C804" s="75">
        <v>67001054</v>
      </c>
      <c r="D804" s="75" t="s">
        <v>239</v>
      </c>
      <c r="E804" s="75">
        <v>62</v>
      </c>
      <c r="F804" s="75" t="s">
        <v>255</v>
      </c>
      <c r="G804" s="75" t="s">
        <v>247</v>
      </c>
      <c r="H804" s="75">
        <v>4</v>
      </c>
      <c r="I804" s="76">
        <v>9333</v>
      </c>
      <c r="J804" s="75" t="s">
        <v>256</v>
      </c>
      <c r="K804" s="77">
        <v>6</v>
      </c>
      <c r="L804" s="78" t="s">
        <v>213</v>
      </c>
      <c r="M804" s="75" t="s">
        <v>1018</v>
      </c>
      <c r="N804" s="82">
        <v>1119.96</v>
      </c>
    </row>
    <row r="805" spans="2:14" x14ac:dyDescent="0.25">
      <c r="B805" s="74" t="s">
        <v>1074</v>
      </c>
      <c r="C805" s="75">
        <v>39127370</v>
      </c>
      <c r="D805" s="75" t="s">
        <v>239</v>
      </c>
      <c r="E805" s="75">
        <v>44</v>
      </c>
      <c r="F805" s="75" t="s">
        <v>255</v>
      </c>
      <c r="G805" s="75" t="s">
        <v>252</v>
      </c>
      <c r="H805" s="75">
        <v>2</v>
      </c>
      <c r="I805" s="76">
        <v>2192</v>
      </c>
      <c r="J805" s="75" t="s">
        <v>262</v>
      </c>
      <c r="K805" s="77">
        <v>6</v>
      </c>
      <c r="L805" s="78" t="s">
        <v>214</v>
      </c>
      <c r="M805" s="75" t="s">
        <v>1018</v>
      </c>
      <c r="N805" s="82">
        <v>263.04000000000002</v>
      </c>
    </row>
    <row r="806" spans="2:14" x14ac:dyDescent="0.25">
      <c r="B806" s="74" t="s">
        <v>1075</v>
      </c>
      <c r="C806" s="75">
        <v>50336092</v>
      </c>
      <c r="D806" s="75" t="s">
        <v>239</v>
      </c>
      <c r="E806" s="75">
        <v>64</v>
      </c>
      <c r="F806" s="75" t="s">
        <v>246</v>
      </c>
      <c r="G806" s="75" t="s">
        <v>258</v>
      </c>
      <c r="H806" s="75">
        <v>2</v>
      </c>
      <c r="I806" s="76">
        <v>6613</v>
      </c>
      <c r="J806" s="75" t="s">
        <v>269</v>
      </c>
      <c r="K806" s="77">
        <v>6</v>
      </c>
      <c r="L806" s="78" t="s">
        <v>193</v>
      </c>
      <c r="M806" s="75" t="s">
        <v>1018</v>
      </c>
      <c r="N806" s="82">
        <v>793.56</v>
      </c>
    </row>
    <row r="807" spans="2:14" x14ac:dyDescent="0.25">
      <c r="B807" s="74" t="s">
        <v>1076</v>
      </c>
      <c r="C807" s="75">
        <v>38982269</v>
      </c>
      <c r="D807" s="75" t="s">
        <v>239</v>
      </c>
      <c r="E807" s="75">
        <v>63</v>
      </c>
      <c r="F807" s="75" t="s">
        <v>255</v>
      </c>
      <c r="G807" s="75" t="s">
        <v>258</v>
      </c>
      <c r="H807" s="75">
        <v>0</v>
      </c>
      <c r="I807" s="76">
        <v>5009</v>
      </c>
      <c r="J807" s="75" t="s">
        <v>269</v>
      </c>
      <c r="K807" s="77">
        <v>6</v>
      </c>
      <c r="L807" s="78" t="s">
        <v>214</v>
      </c>
      <c r="M807" s="75" t="s">
        <v>1018</v>
      </c>
      <c r="N807" s="82">
        <v>601.08000000000004</v>
      </c>
    </row>
    <row r="808" spans="2:14" x14ac:dyDescent="0.25">
      <c r="B808" s="74" t="s">
        <v>1077</v>
      </c>
      <c r="C808" s="75">
        <v>63861567</v>
      </c>
      <c r="D808" s="75" t="s">
        <v>254</v>
      </c>
      <c r="E808" s="75">
        <v>61</v>
      </c>
      <c r="F808" s="75" t="s">
        <v>246</v>
      </c>
      <c r="G808" s="75" t="s">
        <v>252</v>
      </c>
      <c r="H808" s="75">
        <v>1</v>
      </c>
      <c r="I808" s="76">
        <v>8592</v>
      </c>
      <c r="J808" s="75" t="s">
        <v>256</v>
      </c>
      <c r="K808" s="77">
        <v>5</v>
      </c>
      <c r="L808" s="78" t="s">
        <v>213</v>
      </c>
      <c r="M808" s="75" t="s">
        <v>1018</v>
      </c>
      <c r="N808" s="82">
        <v>859.2</v>
      </c>
    </row>
    <row r="809" spans="2:14" x14ac:dyDescent="0.25">
      <c r="B809" s="74" t="s">
        <v>1078</v>
      </c>
      <c r="C809" s="75">
        <v>38581117</v>
      </c>
      <c r="D809" s="75" t="s">
        <v>254</v>
      </c>
      <c r="E809" s="75">
        <v>26</v>
      </c>
      <c r="F809" s="75" t="s">
        <v>251</v>
      </c>
      <c r="G809" s="75" t="s">
        <v>258</v>
      </c>
      <c r="H809" s="75">
        <v>4</v>
      </c>
      <c r="I809" s="76">
        <v>8816</v>
      </c>
      <c r="J809" s="75" t="s">
        <v>248</v>
      </c>
      <c r="K809" s="77">
        <v>5</v>
      </c>
      <c r="L809" s="78" t="s">
        <v>209</v>
      </c>
      <c r="M809" s="75" t="s">
        <v>1018</v>
      </c>
      <c r="N809" s="82">
        <v>881.6</v>
      </c>
    </row>
    <row r="810" spans="2:14" x14ac:dyDescent="0.25">
      <c r="B810" s="74" t="s">
        <v>1079</v>
      </c>
      <c r="C810" s="75">
        <v>68185918</v>
      </c>
      <c r="D810" s="75" t="s">
        <v>254</v>
      </c>
      <c r="E810" s="75">
        <v>21</v>
      </c>
      <c r="F810" s="75" t="s">
        <v>240</v>
      </c>
      <c r="G810" s="75" t="s">
        <v>258</v>
      </c>
      <c r="H810" s="75">
        <v>0</v>
      </c>
      <c r="I810" s="76">
        <v>7978</v>
      </c>
      <c r="J810" s="75" t="s">
        <v>256</v>
      </c>
      <c r="K810" s="77">
        <v>5</v>
      </c>
      <c r="L810" s="78" t="s">
        <v>263</v>
      </c>
      <c r="M810" s="75" t="s">
        <v>1018</v>
      </c>
      <c r="N810" s="82">
        <v>797.8</v>
      </c>
    </row>
    <row r="811" spans="2:14" x14ac:dyDescent="0.25">
      <c r="B811" s="74" t="s">
        <v>1080</v>
      </c>
      <c r="C811" s="75">
        <v>35938746</v>
      </c>
      <c r="D811" s="75" t="s">
        <v>254</v>
      </c>
      <c r="E811" s="75">
        <v>49</v>
      </c>
      <c r="F811" s="75" t="s">
        <v>240</v>
      </c>
      <c r="G811" s="75" t="s">
        <v>252</v>
      </c>
      <c r="H811" s="75">
        <v>2</v>
      </c>
      <c r="I811" s="76">
        <v>2241</v>
      </c>
      <c r="J811" s="75" t="s">
        <v>269</v>
      </c>
      <c r="K811" s="77">
        <v>5</v>
      </c>
      <c r="L811" s="78" t="s">
        <v>214</v>
      </c>
      <c r="M811" s="75" t="s">
        <v>1018</v>
      </c>
      <c r="N811" s="82">
        <v>224.1</v>
      </c>
    </row>
    <row r="812" spans="2:14" x14ac:dyDescent="0.25">
      <c r="B812" s="74" t="s">
        <v>1081</v>
      </c>
      <c r="C812" s="75">
        <v>49168889</v>
      </c>
      <c r="D812" s="75" t="s">
        <v>239</v>
      </c>
      <c r="E812" s="75">
        <v>20</v>
      </c>
      <c r="F812" s="75" t="s">
        <v>255</v>
      </c>
      <c r="G812" s="75" t="s">
        <v>241</v>
      </c>
      <c r="H812" s="75">
        <v>4</v>
      </c>
      <c r="I812" s="76">
        <v>5276</v>
      </c>
      <c r="J812" s="75" t="s">
        <v>242</v>
      </c>
      <c r="K812" s="77">
        <v>5</v>
      </c>
      <c r="L812" s="78" t="s">
        <v>263</v>
      </c>
      <c r="M812" s="75" t="s">
        <v>1018</v>
      </c>
      <c r="N812" s="82">
        <v>527.6</v>
      </c>
    </row>
    <row r="813" spans="2:14" x14ac:dyDescent="0.25">
      <c r="B813" s="74" t="s">
        <v>1082</v>
      </c>
      <c r="C813" s="75">
        <v>62807325</v>
      </c>
      <c r="D813" s="75" t="s">
        <v>239</v>
      </c>
      <c r="E813" s="75">
        <v>21</v>
      </c>
      <c r="F813" s="75" t="s">
        <v>251</v>
      </c>
      <c r="G813" s="75" t="s">
        <v>241</v>
      </c>
      <c r="H813" s="75">
        <v>2</v>
      </c>
      <c r="I813" s="76">
        <v>4303</v>
      </c>
      <c r="J813" s="75" t="s">
        <v>269</v>
      </c>
      <c r="K813" s="77">
        <v>5</v>
      </c>
      <c r="L813" s="78" t="s">
        <v>213</v>
      </c>
      <c r="M813" s="75" t="s">
        <v>1018</v>
      </c>
      <c r="N813" s="82">
        <v>430.3</v>
      </c>
    </row>
    <row r="814" spans="2:14" x14ac:dyDescent="0.25">
      <c r="B814" s="74" t="s">
        <v>1083</v>
      </c>
      <c r="C814" s="75">
        <v>24772342</v>
      </c>
      <c r="D814" s="75" t="s">
        <v>239</v>
      </c>
      <c r="E814" s="75">
        <v>42</v>
      </c>
      <c r="F814" s="75" t="s">
        <v>240</v>
      </c>
      <c r="G814" s="75" t="s">
        <v>247</v>
      </c>
      <c r="H814" s="75">
        <v>1</v>
      </c>
      <c r="I814" s="76">
        <v>7295</v>
      </c>
      <c r="J814" s="75" t="s">
        <v>256</v>
      </c>
      <c r="K814" s="77">
        <v>5</v>
      </c>
      <c r="L814" s="78" t="s">
        <v>215</v>
      </c>
      <c r="M814" s="75" t="s">
        <v>1018</v>
      </c>
      <c r="N814" s="82">
        <v>729.5</v>
      </c>
    </row>
    <row r="815" spans="2:14" x14ac:dyDescent="0.25">
      <c r="B815" s="74" t="s">
        <v>1084</v>
      </c>
      <c r="C815" s="75">
        <v>44345725</v>
      </c>
      <c r="D815" s="75" t="s">
        <v>254</v>
      </c>
      <c r="E815" s="75">
        <v>24</v>
      </c>
      <c r="F815" s="75" t="s">
        <v>246</v>
      </c>
      <c r="G815" s="75" t="s">
        <v>247</v>
      </c>
      <c r="H815" s="75">
        <v>1</v>
      </c>
      <c r="I815" s="76">
        <v>3647</v>
      </c>
      <c r="J815" s="75" t="s">
        <v>256</v>
      </c>
      <c r="K815" s="77">
        <v>5</v>
      </c>
      <c r="L815" s="78" t="s">
        <v>271</v>
      </c>
      <c r="M815" s="75" t="s">
        <v>1018</v>
      </c>
      <c r="N815" s="82">
        <v>364.7</v>
      </c>
    </row>
    <row r="816" spans="2:14" x14ac:dyDescent="0.25">
      <c r="B816" s="74" t="s">
        <v>1085</v>
      </c>
      <c r="C816" s="75">
        <v>58791025</v>
      </c>
      <c r="D816" s="75" t="s">
        <v>254</v>
      </c>
      <c r="E816" s="75">
        <v>63</v>
      </c>
      <c r="F816" s="75" t="s">
        <v>240</v>
      </c>
      <c r="G816" s="75" t="s">
        <v>258</v>
      </c>
      <c r="H816" s="75">
        <v>0</v>
      </c>
      <c r="I816" s="76">
        <v>8244</v>
      </c>
      <c r="J816" s="75" t="s">
        <v>262</v>
      </c>
      <c r="K816" s="77">
        <v>5</v>
      </c>
      <c r="L816" s="78" t="s">
        <v>203</v>
      </c>
      <c r="M816" s="75" t="s">
        <v>1018</v>
      </c>
      <c r="N816" s="82">
        <v>824.4</v>
      </c>
    </row>
    <row r="817" spans="2:14" x14ac:dyDescent="0.25">
      <c r="B817" s="74" t="s">
        <v>1086</v>
      </c>
      <c r="C817" s="75">
        <v>51934133</v>
      </c>
      <c r="D817" s="75" t="s">
        <v>254</v>
      </c>
      <c r="E817" s="75">
        <v>46</v>
      </c>
      <c r="F817" s="75" t="s">
        <v>255</v>
      </c>
      <c r="G817" s="75" t="s">
        <v>258</v>
      </c>
      <c r="H817" s="75">
        <v>1</v>
      </c>
      <c r="I817" s="76">
        <v>5603</v>
      </c>
      <c r="J817" s="75" t="s">
        <v>248</v>
      </c>
      <c r="K817" s="77">
        <v>5</v>
      </c>
      <c r="L817" s="78" t="s">
        <v>193</v>
      </c>
      <c r="M817" s="75" t="s">
        <v>1018</v>
      </c>
      <c r="N817" s="82">
        <v>560.29999999999995</v>
      </c>
    </row>
    <row r="818" spans="2:14" x14ac:dyDescent="0.25">
      <c r="B818" s="74" t="s">
        <v>1087</v>
      </c>
      <c r="C818" s="75">
        <v>22927582</v>
      </c>
      <c r="D818" s="75" t="s">
        <v>254</v>
      </c>
      <c r="E818" s="75">
        <v>64</v>
      </c>
      <c r="F818" s="75" t="s">
        <v>246</v>
      </c>
      <c r="G818" s="75" t="s">
        <v>252</v>
      </c>
      <c r="H818" s="75">
        <v>4</v>
      </c>
      <c r="I818" s="76">
        <v>5919</v>
      </c>
      <c r="J818" s="75" t="s">
        <v>242</v>
      </c>
      <c r="K818" s="77">
        <v>5</v>
      </c>
      <c r="L818" s="78" t="s">
        <v>243</v>
      </c>
      <c r="M818" s="75" t="s">
        <v>1018</v>
      </c>
      <c r="N818" s="82">
        <v>591.9</v>
      </c>
    </row>
    <row r="819" spans="2:14" x14ac:dyDescent="0.25">
      <c r="B819" s="74" t="s">
        <v>1088</v>
      </c>
      <c r="C819" s="75">
        <v>25991963</v>
      </c>
      <c r="D819" s="75" t="s">
        <v>239</v>
      </c>
      <c r="E819" s="75">
        <v>40</v>
      </c>
      <c r="F819" s="75" t="s">
        <v>255</v>
      </c>
      <c r="G819" s="75" t="s">
        <v>252</v>
      </c>
      <c r="H819" s="75">
        <v>1</v>
      </c>
      <c r="I819" s="76">
        <v>8330</v>
      </c>
      <c r="J819" s="75" t="s">
        <v>256</v>
      </c>
      <c r="K819" s="77">
        <v>5</v>
      </c>
      <c r="L819" s="78" t="s">
        <v>213</v>
      </c>
      <c r="M819" s="75" t="s">
        <v>1018</v>
      </c>
      <c r="N819" s="82">
        <v>833</v>
      </c>
    </row>
    <row r="820" spans="2:14" x14ac:dyDescent="0.25">
      <c r="B820" s="74" t="s">
        <v>1089</v>
      </c>
      <c r="C820" s="75">
        <v>60841713</v>
      </c>
      <c r="D820" s="75" t="s">
        <v>239</v>
      </c>
      <c r="E820" s="75">
        <v>25</v>
      </c>
      <c r="F820" s="75" t="s">
        <v>246</v>
      </c>
      <c r="G820" s="75" t="s">
        <v>241</v>
      </c>
      <c r="H820" s="75">
        <v>0</v>
      </c>
      <c r="I820" s="76">
        <v>3550</v>
      </c>
      <c r="J820" s="75" t="s">
        <v>262</v>
      </c>
      <c r="K820" s="77">
        <v>5</v>
      </c>
      <c r="L820" s="78" t="s">
        <v>215</v>
      </c>
      <c r="M820" s="75" t="s">
        <v>1018</v>
      </c>
      <c r="N820" s="82">
        <v>355</v>
      </c>
    </row>
    <row r="821" spans="2:14" x14ac:dyDescent="0.25">
      <c r="B821" s="74" t="s">
        <v>1090</v>
      </c>
      <c r="C821" s="75">
        <v>22656494</v>
      </c>
      <c r="D821" s="75" t="s">
        <v>254</v>
      </c>
      <c r="E821" s="75">
        <v>50</v>
      </c>
      <c r="F821" s="75" t="s">
        <v>246</v>
      </c>
      <c r="G821" s="75" t="s">
        <v>247</v>
      </c>
      <c r="H821" s="75">
        <v>2</v>
      </c>
      <c r="I821" s="76">
        <v>4157</v>
      </c>
      <c r="J821" s="75" t="s">
        <v>269</v>
      </c>
      <c r="K821" s="77">
        <v>5</v>
      </c>
      <c r="L821" s="78" t="s">
        <v>214</v>
      </c>
      <c r="M821" s="75" t="s">
        <v>1018</v>
      </c>
      <c r="N821" s="82">
        <v>415.7</v>
      </c>
    </row>
    <row r="822" spans="2:14" x14ac:dyDescent="0.25">
      <c r="B822" s="74" t="s">
        <v>1091</v>
      </c>
      <c r="C822" s="75">
        <v>36731437</v>
      </c>
      <c r="D822" s="75" t="s">
        <v>254</v>
      </c>
      <c r="E822" s="75">
        <v>56</v>
      </c>
      <c r="F822" s="75" t="s">
        <v>255</v>
      </c>
      <c r="G822" s="75" t="s">
        <v>247</v>
      </c>
      <c r="H822" s="75">
        <v>2</v>
      </c>
      <c r="I822" s="76">
        <v>5384</v>
      </c>
      <c r="J822" s="75" t="s">
        <v>248</v>
      </c>
      <c r="K822" s="77">
        <v>4</v>
      </c>
      <c r="L822" s="78" t="s">
        <v>279</v>
      </c>
      <c r="M822" s="75" t="s">
        <v>1018</v>
      </c>
      <c r="N822" s="82">
        <v>430.72</v>
      </c>
    </row>
    <row r="823" spans="2:14" x14ac:dyDescent="0.25">
      <c r="B823" s="74" t="s">
        <v>1092</v>
      </c>
      <c r="C823" s="75">
        <v>25746613</v>
      </c>
      <c r="D823" s="75" t="s">
        <v>254</v>
      </c>
      <c r="E823" s="75">
        <v>19</v>
      </c>
      <c r="F823" s="75" t="s">
        <v>251</v>
      </c>
      <c r="G823" s="75" t="s">
        <v>241</v>
      </c>
      <c r="H823" s="75">
        <v>4</v>
      </c>
      <c r="I823" s="76">
        <v>5899</v>
      </c>
      <c r="J823" s="75" t="s">
        <v>256</v>
      </c>
      <c r="K823" s="77">
        <v>4</v>
      </c>
      <c r="L823" s="78" t="s">
        <v>213</v>
      </c>
      <c r="M823" s="75" t="s">
        <v>1018</v>
      </c>
      <c r="N823" s="82">
        <v>471.92</v>
      </c>
    </row>
    <row r="824" spans="2:14" x14ac:dyDescent="0.25">
      <c r="B824" s="74" t="s">
        <v>1093</v>
      </c>
      <c r="C824" s="75">
        <v>54601509</v>
      </c>
      <c r="D824" s="75" t="s">
        <v>254</v>
      </c>
      <c r="E824" s="75">
        <v>46</v>
      </c>
      <c r="F824" s="75" t="s">
        <v>240</v>
      </c>
      <c r="G824" s="75" t="s">
        <v>258</v>
      </c>
      <c r="H824" s="75">
        <v>2</v>
      </c>
      <c r="I824" s="76">
        <v>8556</v>
      </c>
      <c r="J824" s="75" t="s">
        <v>269</v>
      </c>
      <c r="K824" s="77">
        <v>4</v>
      </c>
      <c r="L824" s="78" t="s">
        <v>279</v>
      </c>
      <c r="M824" s="75" t="s">
        <v>1018</v>
      </c>
      <c r="N824" s="82">
        <v>684.48</v>
      </c>
    </row>
    <row r="825" spans="2:14" x14ac:dyDescent="0.25">
      <c r="B825" s="74" t="s">
        <v>1094</v>
      </c>
      <c r="C825" s="75">
        <v>64338558</v>
      </c>
      <c r="D825" s="75" t="s">
        <v>254</v>
      </c>
      <c r="E825" s="75">
        <v>62</v>
      </c>
      <c r="F825" s="75" t="s">
        <v>255</v>
      </c>
      <c r="G825" s="75" t="s">
        <v>258</v>
      </c>
      <c r="H825" s="75">
        <v>2</v>
      </c>
      <c r="I825" s="76">
        <v>6224</v>
      </c>
      <c r="J825" s="75" t="s">
        <v>248</v>
      </c>
      <c r="K825" s="77">
        <v>4</v>
      </c>
      <c r="L825" s="78" t="s">
        <v>243</v>
      </c>
      <c r="M825" s="75" t="s">
        <v>1018</v>
      </c>
      <c r="N825" s="82">
        <v>497.92</v>
      </c>
    </row>
    <row r="826" spans="2:14" x14ac:dyDescent="0.25">
      <c r="B826" s="74" t="s">
        <v>1095</v>
      </c>
      <c r="C826" s="75">
        <v>66362804</v>
      </c>
      <c r="D826" s="75" t="s">
        <v>239</v>
      </c>
      <c r="E826" s="75">
        <v>29</v>
      </c>
      <c r="F826" s="75" t="s">
        <v>240</v>
      </c>
      <c r="G826" s="75" t="s">
        <v>241</v>
      </c>
      <c r="H826" s="75">
        <v>2</v>
      </c>
      <c r="I826" s="76">
        <v>6929</v>
      </c>
      <c r="J826" s="75" t="s">
        <v>248</v>
      </c>
      <c r="K826" s="77">
        <v>4</v>
      </c>
      <c r="L826" s="78" t="s">
        <v>213</v>
      </c>
      <c r="M826" s="75" t="s">
        <v>1018</v>
      </c>
      <c r="N826" s="82">
        <v>554.32000000000005</v>
      </c>
    </row>
    <row r="827" spans="2:14" x14ac:dyDescent="0.25">
      <c r="B827" s="74" t="s">
        <v>1096</v>
      </c>
      <c r="C827" s="75">
        <v>31714267</v>
      </c>
      <c r="D827" s="75" t="s">
        <v>254</v>
      </c>
      <c r="E827" s="75">
        <v>30</v>
      </c>
      <c r="F827" s="75" t="s">
        <v>255</v>
      </c>
      <c r="G827" s="75" t="s">
        <v>258</v>
      </c>
      <c r="H827" s="75">
        <v>1</v>
      </c>
      <c r="I827" s="76">
        <v>8595</v>
      </c>
      <c r="J827" s="75" t="s">
        <v>262</v>
      </c>
      <c r="K827" s="77">
        <v>4</v>
      </c>
      <c r="L827" s="78" t="s">
        <v>212</v>
      </c>
      <c r="M827" s="75" t="s">
        <v>1018</v>
      </c>
      <c r="N827" s="82">
        <v>687.6</v>
      </c>
    </row>
    <row r="828" spans="2:14" x14ac:dyDescent="0.25">
      <c r="B828" s="74" t="s">
        <v>1097</v>
      </c>
      <c r="C828" s="75">
        <v>41529596</v>
      </c>
      <c r="D828" s="75" t="s">
        <v>254</v>
      </c>
      <c r="E828" s="75">
        <v>48</v>
      </c>
      <c r="F828" s="75" t="s">
        <v>255</v>
      </c>
      <c r="G828" s="75" t="s">
        <v>258</v>
      </c>
      <c r="H828" s="75">
        <v>3</v>
      </c>
      <c r="I828" s="76">
        <v>8662</v>
      </c>
      <c r="J828" s="75" t="s">
        <v>242</v>
      </c>
      <c r="K828" s="77">
        <v>4</v>
      </c>
      <c r="L828" s="78" t="s">
        <v>212</v>
      </c>
      <c r="M828" s="75" t="s">
        <v>1018</v>
      </c>
      <c r="N828" s="82">
        <v>692.96</v>
      </c>
    </row>
    <row r="829" spans="2:14" x14ac:dyDescent="0.25">
      <c r="B829" s="74" t="s">
        <v>1098</v>
      </c>
      <c r="C829" s="75">
        <v>47836890</v>
      </c>
      <c r="D829" s="75" t="s">
        <v>254</v>
      </c>
      <c r="E829" s="75">
        <v>56</v>
      </c>
      <c r="F829" s="75" t="s">
        <v>246</v>
      </c>
      <c r="G829" s="75" t="s">
        <v>258</v>
      </c>
      <c r="H829" s="75">
        <v>2</v>
      </c>
      <c r="I829" s="76">
        <v>9504</v>
      </c>
      <c r="J829" s="75" t="s">
        <v>256</v>
      </c>
      <c r="K829" s="77">
        <v>4</v>
      </c>
      <c r="L829" s="78" t="s">
        <v>243</v>
      </c>
      <c r="M829" s="75" t="s">
        <v>1018</v>
      </c>
      <c r="N829" s="82">
        <v>760.32</v>
      </c>
    </row>
    <row r="830" spans="2:14" x14ac:dyDescent="0.25">
      <c r="B830" s="74" t="s">
        <v>1099</v>
      </c>
      <c r="C830" s="75">
        <v>69308118</v>
      </c>
      <c r="D830" s="75" t="s">
        <v>239</v>
      </c>
      <c r="E830" s="75">
        <v>33</v>
      </c>
      <c r="F830" s="75" t="s">
        <v>246</v>
      </c>
      <c r="G830" s="75" t="s">
        <v>258</v>
      </c>
      <c r="H830" s="75">
        <v>3</v>
      </c>
      <c r="I830" s="76">
        <v>2782</v>
      </c>
      <c r="J830" s="75" t="s">
        <v>262</v>
      </c>
      <c r="K830" s="77">
        <v>4</v>
      </c>
      <c r="L830" s="78" t="s">
        <v>279</v>
      </c>
      <c r="M830" s="75" t="s">
        <v>1018</v>
      </c>
      <c r="N830" s="82">
        <v>222.56</v>
      </c>
    </row>
    <row r="831" spans="2:14" x14ac:dyDescent="0.25">
      <c r="B831" s="74" t="s">
        <v>1100</v>
      </c>
      <c r="C831" s="75">
        <v>63197407</v>
      </c>
      <c r="D831" s="75" t="s">
        <v>239</v>
      </c>
      <c r="E831" s="75">
        <v>65</v>
      </c>
      <c r="F831" s="75" t="s">
        <v>255</v>
      </c>
      <c r="G831" s="75" t="s">
        <v>247</v>
      </c>
      <c r="H831" s="75">
        <v>2</v>
      </c>
      <c r="I831" s="76">
        <v>8928</v>
      </c>
      <c r="J831" s="75" t="s">
        <v>248</v>
      </c>
      <c r="K831" s="77">
        <v>4</v>
      </c>
      <c r="L831" s="78" t="s">
        <v>214</v>
      </c>
      <c r="M831" s="75" t="s">
        <v>1018</v>
      </c>
      <c r="N831" s="82">
        <v>714.24</v>
      </c>
    </row>
    <row r="832" spans="2:14" x14ac:dyDescent="0.25">
      <c r="B832" s="74" t="s">
        <v>1101</v>
      </c>
      <c r="C832" s="75">
        <v>60834581</v>
      </c>
      <c r="D832" s="75" t="s">
        <v>254</v>
      </c>
      <c r="E832" s="75">
        <v>42</v>
      </c>
      <c r="F832" s="75" t="s">
        <v>251</v>
      </c>
      <c r="G832" s="75" t="s">
        <v>241</v>
      </c>
      <c r="H832" s="75">
        <v>4</v>
      </c>
      <c r="I832" s="76">
        <v>5546</v>
      </c>
      <c r="J832" s="75" t="s">
        <v>248</v>
      </c>
      <c r="K832" s="77">
        <v>4</v>
      </c>
      <c r="L832" s="78" t="s">
        <v>279</v>
      </c>
      <c r="M832" s="75" t="s">
        <v>1018</v>
      </c>
      <c r="N832" s="82">
        <v>443.68</v>
      </c>
    </row>
    <row r="833" spans="2:14" x14ac:dyDescent="0.25">
      <c r="B833" s="74" t="s">
        <v>1102</v>
      </c>
      <c r="C833" s="75">
        <v>53400298</v>
      </c>
      <c r="D833" s="75" t="s">
        <v>254</v>
      </c>
      <c r="E833" s="75">
        <v>44</v>
      </c>
      <c r="F833" s="75" t="s">
        <v>246</v>
      </c>
      <c r="G833" s="75" t="s">
        <v>241</v>
      </c>
      <c r="H833" s="75">
        <v>2</v>
      </c>
      <c r="I833" s="76">
        <v>4234</v>
      </c>
      <c r="J833" s="75" t="s">
        <v>269</v>
      </c>
      <c r="K833" s="77">
        <v>3</v>
      </c>
      <c r="L833" s="78" t="s">
        <v>263</v>
      </c>
      <c r="M833" s="75" t="s">
        <v>1018</v>
      </c>
      <c r="N833" s="82">
        <v>254.04</v>
      </c>
    </row>
    <row r="834" spans="2:14" x14ac:dyDescent="0.25">
      <c r="B834" s="74" t="s">
        <v>1103</v>
      </c>
      <c r="C834" s="75">
        <v>23283491</v>
      </c>
      <c r="D834" s="75" t="s">
        <v>254</v>
      </c>
      <c r="E834" s="75">
        <v>37</v>
      </c>
      <c r="F834" s="75" t="s">
        <v>255</v>
      </c>
      <c r="G834" s="75" t="s">
        <v>247</v>
      </c>
      <c r="H834" s="75">
        <v>2</v>
      </c>
      <c r="I834" s="76">
        <v>8944</v>
      </c>
      <c r="J834" s="75" t="s">
        <v>248</v>
      </c>
      <c r="K834" s="77">
        <v>3</v>
      </c>
      <c r="L834" s="78" t="s">
        <v>203</v>
      </c>
      <c r="M834" s="75" t="s">
        <v>1018</v>
      </c>
      <c r="N834" s="82">
        <v>536.64</v>
      </c>
    </row>
    <row r="835" spans="2:14" x14ac:dyDescent="0.25">
      <c r="B835" s="74" t="s">
        <v>1104</v>
      </c>
      <c r="C835" s="75">
        <v>47291323</v>
      </c>
      <c r="D835" s="75" t="s">
        <v>239</v>
      </c>
      <c r="E835" s="75">
        <v>49</v>
      </c>
      <c r="F835" s="75" t="s">
        <v>255</v>
      </c>
      <c r="G835" s="75" t="s">
        <v>258</v>
      </c>
      <c r="H835" s="75">
        <v>1</v>
      </c>
      <c r="I835" s="76">
        <v>6765</v>
      </c>
      <c r="J835" s="75" t="s">
        <v>262</v>
      </c>
      <c r="K835" s="77">
        <v>3</v>
      </c>
      <c r="L835" s="78" t="s">
        <v>271</v>
      </c>
      <c r="M835" s="75" t="s">
        <v>1018</v>
      </c>
      <c r="N835" s="82">
        <v>405.9</v>
      </c>
    </row>
    <row r="836" spans="2:14" x14ac:dyDescent="0.25">
      <c r="B836" s="74" t="s">
        <v>1105</v>
      </c>
      <c r="C836" s="75">
        <v>30565619</v>
      </c>
      <c r="D836" s="75" t="s">
        <v>254</v>
      </c>
      <c r="E836" s="75">
        <v>28</v>
      </c>
      <c r="F836" s="75" t="s">
        <v>240</v>
      </c>
      <c r="G836" s="75" t="s">
        <v>258</v>
      </c>
      <c r="H836" s="75">
        <v>0</v>
      </c>
      <c r="I836" s="76">
        <v>3687</v>
      </c>
      <c r="J836" s="75" t="s">
        <v>242</v>
      </c>
      <c r="K836" s="77">
        <v>3</v>
      </c>
      <c r="L836" s="78" t="s">
        <v>193</v>
      </c>
      <c r="M836" s="75" t="s">
        <v>1018</v>
      </c>
      <c r="N836" s="82">
        <v>221.22</v>
      </c>
    </row>
    <row r="837" spans="2:14" x14ac:dyDescent="0.25">
      <c r="B837" s="74" t="s">
        <v>1106</v>
      </c>
      <c r="C837" s="75">
        <v>39651692</v>
      </c>
      <c r="D837" s="75" t="s">
        <v>239</v>
      </c>
      <c r="E837" s="75">
        <v>47</v>
      </c>
      <c r="F837" s="75" t="s">
        <v>255</v>
      </c>
      <c r="G837" s="75" t="s">
        <v>258</v>
      </c>
      <c r="H837" s="75">
        <v>1</v>
      </c>
      <c r="I837" s="76">
        <v>9360</v>
      </c>
      <c r="J837" s="75" t="s">
        <v>262</v>
      </c>
      <c r="K837" s="77">
        <v>3</v>
      </c>
      <c r="L837" s="78" t="s">
        <v>215</v>
      </c>
      <c r="M837" s="75" t="s">
        <v>1018</v>
      </c>
      <c r="N837" s="82">
        <v>561.6</v>
      </c>
    </row>
    <row r="838" spans="2:14" x14ac:dyDescent="0.25">
      <c r="B838" s="74" t="s">
        <v>1107</v>
      </c>
      <c r="C838" s="75">
        <v>70429063</v>
      </c>
      <c r="D838" s="75" t="s">
        <v>254</v>
      </c>
      <c r="E838" s="75">
        <v>32</v>
      </c>
      <c r="F838" s="75" t="s">
        <v>251</v>
      </c>
      <c r="G838" s="75" t="s">
        <v>258</v>
      </c>
      <c r="H838" s="75">
        <v>2</v>
      </c>
      <c r="I838" s="76">
        <v>8553</v>
      </c>
      <c r="J838" s="75" t="s">
        <v>262</v>
      </c>
      <c r="K838" s="77">
        <v>3</v>
      </c>
      <c r="L838" s="78" t="s">
        <v>271</v>
      </c>
      <c r="M838" s="75" t="s">
        <v>1018</v>
      </c>
      <c r="N838" s="82">
        <v>513.17999999999995</v>
      </c>
    </row>
    <row r="839" spans="2:14" x14ac:dyDescent="0.25">
      <c r="B839" s="74" t="s">
        <v>1108</v>
      </c>
      <c r="C839" s="75">
        <v>55785646</v>
      </c>
      <c r="D839" s="75" t="s">
        <v>254</v>
      </c>
      <c r="E839" s="75">
        <v>46</v>
      </c>
      <c r="F839" s="75" t="s">
        <v>251</v>
      </c>
      <c r="G839" s="75" t="s">
        <v>247</v>
      </c>
      <c r="H839" s="75">
        <v>2</v>
      </c>
      <c r="I839" s="76">
        <v>9565</v>
      </c>
      <c r="J839" s="75" t="s">
        <v>242</v>
      </c>
      <c r="K839" s="77">
        <v>3</v>
      </c>
      <c r="L839" s="78" t="s">
        <v>210</v>
      </c>
      <c r="M839" s="75" t="s">
        <v>1018</v>
      </c>
      <c r="N839" s="82">
        <v>573.9</v>
      </c>
    </row>
    <row r="840" spans="2:14" x14ac:dyDescent="0.25">
      <c r="B840" s="74" t="s">
        <v>1109</v>
      </c>
      <c r="C840" s="75">
        <v>54195356</v>
      </c>
      <c r="D840" s="75" t="s">
        <v>239</v>
      </c>
      <c r="E840" s="75">
        <v>41</v>
      </c>
      <c r="F840" s="75" t="s">
        <v>251</v>
      </c>
      <c r="G840" s="75" t="s">
        <v>241</v>
      </c>
      <c r="H840" s="75">
        <v>0</v>
      </c>
      <c r="I840" s="76">
        <v>5053</v>
      </c>
      <c r="J840" s="75" t="s">
        <v>242</v>
      </c>
      <c r="K840" s="77">
        <v>3</v>
      </c>
      <c r="L840" s="78" t="s">
        <v>243</v>
      </c>
      <c r="M840" s="75" t="s">
        <v>1018</v>
      </c>
      <c r="N840" s="82">
        <v>303.18</v>
      </c>
    </row>
    <row r="841" spans="2:14" x14ac:dyDescent="0.25">
      <c r="B841" s="74" t="s">
        <v>1110</v>
      </c>
      <c r="C841" s="75">
        <v>54328760</v>
      </c>
      <c r="D841" s="75" t="s">
        <v>239</v>
      </c>
      <c r="E841" s="75">
        <v>61</v>
      </c>
      <c r="F841" s="75" t="s">
        <v>246</v>
      </c>
      <c r="G841" s="75" t="s">
        <v>258</v>
      </c>
      <c r="H841" s="75">
        <v>2</v>
      </c>
      <c r="I841" s="76">
        <v>6201</v>
      </c>
      <c r="J841" s="75" t="s">
        <v>248</v>
      </c>
      <c r="K841" s="77">
        <v>3</v>
      </c>
      <c r="L841" s="78" t="s">
        <v>271</v>
      </c>
      <c r="M841" s="75" t="s">
        <v>1018</v>
      </c>
      <c r="N841" s="82">
        <v>372.06</v>
      </c>
    </row>
    <row r="842" spans="2:14" x14ac:dyDescent="0.25">
      <c r="B842" s="74" t="s">
        <v>1111</v>
      </c>
      <c r="C842" s="75">
        <v>64959971</v>
      </c>
      <c r="D842" s="75" t="s">
        <v>239</v>
      </c>
      <c r="E842" s="75">
        <v>24</v>
      </c>
      <c r="F842" s="75" t="s">
        <v>255</v>
      </c>
      <c r="G842" s="75" t="s">
        <v>252</v>
      </c>
      <c r="H842" s="75">
        <v>3</v>
      </c>
      <c r="I842" s="76">
        <v>9125</v>
      </c>
      <c r="J842" s="75" t="s">
        <v>242</v>
      </c>
      <c r="K842" s="77">
        <v>2</v>
      </c>
      <c r="L842" s="78" t="s">
        <v>243</v>
      </c>
      <c r="M842" s="75" t="s">
        <v>1018</v>
      </c>
      <c r="N842" s="82">
        <v>365</v>
      </c>
    </row>
    <row r="843" spans="2:14" x14ac:dyDescent="0.25">
      <c r="B843" s="74" t="s">
        <v>1112</v>
      </c>
      <c r="C843" s="75">
        <v>63716073</v>
      </c>
      <c r="D843" s="75" t="s">
        <v>254</v>
      </c>
      <c r="E843" s="75">
        <v>23</v>
      </c>
      <c r="F843" s="75" t="s">
        <v>246</v>
      </c>
      <c r="G843" s="75" t="s">
        <v>241</v>
      </c>
      <c r="H843" s="75">
        <v>2</v>
      </c>
      <c r="I843" s="76">
        <v>5939</v>
      </c>
      <c r="J843" s="75" t="s">
        <v>269</v>
      </c>
      <c r="K843" s="77">
        <v>2</v>
      </c>
      <c r="L843" s="78" t="s">
        <v>243</v>
      </c>
      <c r="M843" s="75" t="s">
        <v>1018</v>
      </c>
      <c r="N843" s="82">
        <v>237.56</v>
      </c>
    </row>
    <row r="844" spans="2:14" x14ac:dyDescent="0.25">
      <c r="B844" s="74" t="s">
        <v>1113</v>
      </c>
      <c r="C844" s="75">
        <v>44442272</v>
      </c>
      <c r="D844" s="75" t="s">
        <v>239</v>
      </c>
      <c r="E844" s="75">
        <v>56</v>
      </c>
      <c r="F844" s="75" t="s">
        <v>240</v>
      </c>
      <c r="G844" s="75" t="s">
        <v>241</v>
      </c>
      <c r="H844" s="75">
        <v>3</v>
      </c>
      <c r="I844" s="76">
        <v>8700</v>
      </c>
      <c r="J844" s="75" t="s">
        <v>248</v>
      </c>
      <c r="K844" s="77">
        <v>2</v>
      </c>
      <c r="L844" s="78" t="s">
        <v>213</v>
      </c>
      <c r="M844" s="75" t="s">
        <v>1018</v>
      </c>
      <c r="N844" s="82">
        <v>348</v>
      </c>
    </row>
    <row r="845" spans="2:14" x14ac:dyDescent="0.25">
      <c r="B845" s="74" t="s">
        <v>1114</v>
      </c>
      <c r="C845" s="75">
        <v>48087516</v>
      </c>
      <c r="D845" s="75" t="s">
        <v>239</v>
      </c>
      <c r="E845" s="75">
        <v>54</v>
      </c>
      <c r="F845" s="75" t="s">
        <v>251</v>
      </c>
      <c r="G845" s="75" t="s">
        <v>241</v>
      </c>
      <c r="H845" s="75">
        <v>1</v>
      </c>
      <c r="I845" s="76">
        <v>7402</v>
      </c>
      <c r="J845" s="75" t="s">
        <v>242</v>
      </c>
      <c r="K845" s="77">
        <v>2</v>
      </c>
      <c r="L845" s="78" t="s">
        <v>213</v>
      </c>
      <c r="M845" s="75" t="s">
        <v>1018</v>
      </c>
      <c r="N845" s="82">
        <v>296.08</v>
      </c>
    </row>
    <row r="846" spans="2:14" x14ac:dyDescent="0.25">
      <c r="B846" s="74" t="s">
        <v>1115</v>
      </c>
      <c r="C846" s="75">
        <v>23860573</v>
      </c>
      <c r="D846" s="75" t="s">
        <v>239</v>
      </c>
      <c r="E846" s="75">
        <v>65</v>
      </c>
      <c r="F846" s="75" t="s">
        <v>255</v>
      </c>
      <c r="G846" s="75" t="s">
        <v>247</v>
      </c>
      <c r="H846" s="75">
        <v>1</v>
      </c>
      <c r="I846" s="76">
        <v>2560</v>
      </c>
      <c r="J846" s="75" t="s">
        <v>248</v>
      </c>
      <c r="K846" s="77">
        <v>2</v>
      </c>
      <c r="L846" s="78" t="s">
        <v>193</v>
      </c>
      <c r="M846" s="75" t="s">
        <v>1018</v>
      </c>
      <c r="N846" s="82">
        <v>102.4</v>
      </c>
    </row>
    <row r="847" spans="2:14" x14ac:dyDescent="0.25">
      <c r="B847" s="74" t="s">
        <v>1116</v>
      </c>
      <c r="C847" s="75">
        <v>59150588</v>
      </c>
      <c r="D847" s="75" t="s">
        <v>254</v>
      </c>
      <c r="E847" s="75">
        <v>35</v>
      </c>
      <c r="F847" s="75" t="s">
        <v>240</v>
      </c>
      <c r="G847" s="75" t="s">
        <v>258</v>
      </c>
      <c r="H847" s="75">
        <v>4</v>
      </c>
      <c r="I847" s="76">
        <v>8176</v>
      </c>
      <c r="J847" s="75" t="s">
        <v>262</v>
      </c>
      <c r="K847" s="77">
        <v>2</v>
      </c>
      <c r="L847" s="78" t="s">
        <v>271</v>
      </c>
      <c r="M847" s="75" t="s">
        <v>1018</v>
      </c>
      <c r="N847" s="82">
        <v>327.04000000000002</v>
      </c>
    </row>
    <row r="848" spans="2:14" x14ac:dyDescent="0.25">
      <c r="B848" s="74" t="s">
        <v>1117</v>
      </c>
      <c r="C848" s="75">
        <v>48224354</v>
      </c>
      <c r="D848" s="75" t="s">
        <v>239</v>
      </c>
      <c r="E848" s="75">
        <v>57</v>
      </c>
      <c r="F848" s="75" t="s">
        <v>251</v>
      </c>
      <c r="G848" s="75" t="s">
        <v>252</v>
      </c>
      <c r="H848" s="75">
        <v>1</v>
      </c>
      <c r="I848" s="76">
        <v>7117</v>
      </c>
      <c r="J848" s="75" t="s">
        <v>248</v>
      </c>
      <c r="K848" s="77">
        <v>2</v>
      </c>
      <c r="L848" s="78" t="s">
        <v>279</v>
      </c>
      <c r="M848" s="75" t="s">
        <v>1018</v>
      </c>
      <c r="N848" s="82">
        <v>284.68</v>
      </c>
    </row>
    <row r="849" spans="2:14" x14ac:dyDescent="0.25">
      <c r="B849" s="74" t="s">
        <v>1118</v>
      </c>
      <c r="C849" s="75">
        <v>32485543</v>
      </c>
      <c r="D849" s="75" t="s">
        <v>254</v>
      </c>
      <c r="E849" s="75">
        <v>44</v>
      </c>
      <c r="F849" s="75" t="s">
        <v>246</v>
      </c>
      <c r="G849" s="75" t="s">
        <v>252</v>
      </c>
      <c r="H849" s="75">
        <v>1</v>
      </c>
      <c r="I849" s="76">
        <v>7128</v>
      </c>
      <c r="J849" s="75" t="s">
        <v>256</v>
      </c>
      <c r="K849" s="77">
        <v>2</v>
      </c>
      <c r="L849" s="78" t="s">
        <v>212</v>
      </c>
      <c r="M849" s="75" t="s">
        <v>1018</v>
      </c>
      <c r="N849" s="82">
        <v>285.12</v>
      </c>
    </row>
    <row r="850" spans="2:14" x14ac:dyDescent="0.25">
      <c r="B850" s="74" t="s">
        <v>1119</v>
      </c>
      <c r="C850" s="75">
        <v>31963367</v>
      </c>
      <c r="D850" s="75" t="s">
        <v>254</v>
      </c>
      <c r="E850" s="75">
        <v>29</v>
      </c>
      <c r="F850" s="75" t="s">
        <v>246</v>
      </c>
      <c r="G850" s="75" t="s">
        <v>241</v>
      </c>
      <c r="H850" s="75">
        <v>3</v>
      </c>
      <c r="I850" s="76">
        <v>4329</v>
      </c>
      <c r="J850" s="75" t="s">
        <v>242</v>
      </c>
      <c r="K850" s="77">
        <v>2</v>
      </c>
      <c r="L850" s="78" t="s">
        <v>271</v>
      </c>
      <c r="M850" s="75" t="s">
        <v>1018</v>
      </c>
      <c r="N850" s="82">
        <v>173.16</v>
      </c>
    </row>
    <row r="851" spans="2:14" x14ac:dyDescent="0.25">
      <c r="B851" s="74" t="s">
        <v>1120</v>
      </c>
      <c r="C851" s="75">
        <v>29518099</v>
      </c>
      <c r="D851" s="75" t="s">
        <v>254</v>
      </c>
      <c r="E851" s="75">
        <v>38</v>
      </c>
      <c r="F851" s="75" t="s">
        <v>246</v>
      </c>
      <c r="G851" s="75" t="s">
        <v>241</v>
      </c>
      <c r="H851" s="75">
        <v>3</v>
      </c>
      <c r="I851" s="76">
        <v>8726</v>
      </c>
      <c r="J851" s="75" t="s">
        <v>256</v>
      </c>
      <c r="K851" s="77">
        <v>2</v>
      </c>
      <c r="L851" s="78" t="s">
        <v>209</v>
      </c>
      <c r="M851" s="75" t="s">
        <v>1018</v>
      </c>
      <c r="N851" s="82">
        <v>349.04</v>
      </c>
    </row>
    <row r="852" spans="2:14" x14ac:dyDescent="0.25">
      <c r="B852" s="74" t="s">
        <v>1121</v>
      </c>
      <c r="C852" s="75">
        <v>49589122</v>
      </c>
      <c r="D852" s="75" t="s">
        <v>254</v>
      </c>
      <c r="E852" s="75">
        <v>21</v>
      </c>
      <c r="F852" s="75" t="s">
        <v>240</v>
      </c>
      <c r="G852" s="75" t="s">
        <v>247</v>
      </c>
      <c r="H852" s="75">
        <v>2</v>
      </c>
      <c r="I852" s="76">
        <v>9931</v>
      </c>
      <c r="J852" s="75" t="s">
        <v>242</v>
      </c>
      <c r="K852" s="77">
        <v>2</v>
      </c>
      <c r="L852" s="78" t="s">
        <v>215</v>
      </c>
      <c r="M852" s="75" t="s">
        <v>1018</v>
      </c>
      <c r="N852" s="82">
        <v>397.24</v>
      </c>
    </row>
    <row r="853" spans="2:14" x14ac:dyDescent="0.25">
      <c r="B853" s="74" t="s">
        <v>1122</v>
      </c>
      <c r="C853" s="75">
        <v>58935537</v>
      </c>
      <c r="D853" s="75" t="s">
        <v>239</v>
      </c>
      <c r="E853" s="75">
        <v>33</v>
      </c>
      <c r="F853" s="75" t="s">
        <v>251</v>
      </c>
      <c r="G853" s="75" t="s">
        <v>258</v>
      </c>
      <c r="H853" s="75">
        <v>1</v>
      </c>
      <c r="I853" s="76">
        <v>5549</v>
      </c>
      <c r="J853" s="75" t="s">
        <v>269</v>
      </c>
      <c r="K853" s="77">
        <v>1</v>
      </c>
      <c r="L853" s="78" t="s">
        <v>215</v>
      </c>
      <c r="M853" s="75" t="s">
        <v>1018</v>
      </c>
      <c r="N853" s="82">
        <v>110.98</v>
      </c>
    </row>
    <row r="854" spans="2:14" x14ac:dyDescent="0.25">
      <c r="B854" s="74" t="s">
        <v>1123</v>
      </c>
      <c r="C854" s="75">
        <v>41666159</v>
      </c>
      <c r="D854" s="75" t="s">
        <v>254</v>
      </c>
      <c r="E854" s="75">
        <v>27</v>
      </c>
      <c r="F854" s="75" t="s">
        <v>251</v>
      </c>
      <c r="G854" s="75" t="s">
        <v>241</v>
      </c>
      <c r="H854" s="75">
        <v>3</v>
      </c>
      <c r="I854" s="76">
        <v>6749</v>
      </c>
      <c r="J854" s="75" t="s">
        <v>256</v>
      </c>
      <c r="K854" s="77">
        <v>1</v>
      </c>
      <c r="L854" s="78" t="s">
        <v>263</v>
      </c>
      <c r="M854" s="75" t="s">
        <v>1018</v>
      </c>
      <c r="N854" s="82">
        <v>134.97999999999999</v>
      </c>
    </row>
    <row r="855" spans="2:14" x14ac:dyDescent="0.25">
      <c r="B855" s="74" t="s">
        <v>1124</v>
      </c>
      <c r="C855" s="75">
        <v>28573283</v>
      </c>
      <c r="D855" s="75" t="s">
        <v>254</v>
      </c>
      <c r="E855" s="75">
        <v>18</v>
      </c>
      <c r="F855" s="75" t="s">
        <v>246</v>
      </c>
      <c r="G855" s="75" t="s">
        <v>247</v>
      </c>
      <c r="H855" s="75">
        <v>2</v>
      </c>
      <c r="I855" s="76">
        <v>4564</v>
      </c>
      <c r="J855" s="75" t="s">
        <v>256</v>
      </c>
      <c r="K855" s="77">
        <v>1</v>
      </c>
      <c r="L855" s="78" t="s">
        <v>210</v>
      </c>
      <c r="M855" s="75" t="s">
        <v>1018</v>
      </c>
      <c r="N855" s="82">
        <v>91.28</v>
      </c>
    </row>
    <row r="856" spans="2:14" x14ac:dyDescent="0.25">
      <c r="B856" s="74" t="s">
        <v>1125</v>
      </c>
      <c r="C856" s="75">
        <v>27444173</v>
      </c>
      <c r="D856" s="75" t="s">
        <v>239</v>
      </c>
      <c r="E856" s="75">
        <v>54</v>
      </c>
      <c r="F856" s="75" t="s">
        <v>246</v>
      </c>
      <c r="G856" s="75" t="s">
        <v>252</v>
      </c>
      <c r="H856" s="75">
        <v>1</v>
      </c>
      <c r="I856" s="76">
        <v>9255</v>
      </c>
      <c r="J856" s="75" t="s">
        <v>248</v>
      </c>
      <c r="K856" s="77">
        <v>1</v>
      </c>
      <c r="L856" s="78" t="s">
        <v>279</v>
      </c>
      <c r="M856" s="75" t="s">
        <v>1018</v>
      </c>
      <c r="N856" s="82">
        <v>185.1</v>
      </c>
    </row>
    <row r="857" spans="2:14" x14ac:dyDescent="0.25">
      <c r="B857" s="74" t="s">
        <v>1126</v>
      </c>
      <c r="C857" s="75">
        <v>41312734</v>
      </c>
      <c r="D857" s="75" t="s">
        <v>254</v>
      </c>
      <c r="E857" s="75">
        <v>29</v>
      </c>
      <c r="F857" s="75" t="s">
        <v>255</v>
      </c>
      <c r="G857" s="75" t="s">
        <v>258</v>
      </c>
      <c r="H857" s="75">
        <v>0</v>
      </c>
      <c r="I857" s="76">
        <v>3920</v>
      </c>
      <c r="J857" s="75" t="s">
        <v>242</v>
      </c>
      <c r="K857" s="77">
        <v>1</v>
      </c>
      <c r="L857" s="78" t="s">
        <v>210</v>
      </c>
      <c r="M857" s="75" t="s">
        <v>1018</v>
      </c>
      <c r="N857" s="82">
        <v>78.400000000000006</v>
      </c>
    </row>
    <row r="858" spans="2:14" x14ac:dyDescent="0.25">
      <c r="B858" s="74" t="s">
        <v>1127</v>
      </c>
      <c r="C858" s="75">
        <v>50768005</v>
      </c>
      <c r="D858" s="75" t="s">
        <v>239</v>
      </c>
      <c r="E858" s="75">
        <v>36</v>
      </c>
      <c r="F858" s="75" t="s">
        <v>240</v>
      </c>
      <c r="G858" s="75" t="s">
        <v>247</v>
      </c>
      <c r="H858" s="75">
        <v>0</v>
      </c>
      <c r="I858" s="76">
        <v>4914</v>
      </c>
      <c r="J858" s="75" t="s">
        <v>242</v>
      </c>
      <c r="K858" s="77">
        <v>1</v>
      </c>
      <c r="L858" s="78" t="s">
        <v>209</v>
      </c>
      <c r="M858" s="75" t="s">
        <v>1018</v>
      </c>
      <c r="N858" s="82">
        <v>98.28</v>
      </c>
    </row>
    <row r="859" spans="2:14" x14ac:dyDescent="0.25">
      <c r="B859" s="74" t="s">
        <v>1128</v>
      </c>
      <c r="C859" s="75">
        <v>55097677</v>
      </c>
      <c r="D859" s="75" t="s">
        <v>239</v>
      </c>
      <c r="E859" s="75">
        <v>30</v>
      </c>
      <c r="F859" s="75" t="s">
        <v>251</v>
      </c>
      <c r="G859" s="75" t="s">
        <v>258</v>
      </c>
      <c r="H859" s="75">
        <v>2</v>
      </c>
      <c r="I859" s="76">
        <v>7846</v>
      </c>
      <c r="J859" s="75" t="s">
        <v>269</v>
      </c>
      <c r="K859" s="77">
        <v>1</v>
      </c>
      <c r="L859" s="78" t="s">
        <v>212</v>
      </c>
      <c r="M859" s="75" t="s">
        <v>1018</v>
      </c>
      <c r="N859" s="82">
        <v>156.91999999999999</v>
      </c>
    </row>
    <row r="860" spans="2:14" x14ac:dyDescent="0.25">
      <c r="B860" s="74" t="s">
        <v>1129</v>
      </c>
      <c r="C860" s="75">
        <v>47969000</v>
      </c>
      <c r="D860" s="75" t="s">
        <v>254</v>
      </c>
      <c r="E860" s="75">
        <v>18</v>
      </c>
      <c r="F860" s="75" t="s">
        <v>251</v>
      </c>
      <c r="G860" s="75" t="s">
        <v>241</v>
      </c>
      <c r="H860" s="75">
        <v>1</v>
      </c>
      <c r="I860" s="76">
        <v>5513</v>
      </c>
      <c r="J860" s="75" t="s">
        <v>248</v>
      </c>
      <c r="K860" s="77">
        <v>1</v>
      </c>
      <c r="L860" s="78" t="s">
        <v>214</v>
      </c>
      <c r="M860" s="75" t="s">
        <v>1018</v>
      </c>
      <c r="N860" s="82">
        <v>110.26</v>
      </c>
    </row>
    <row r="861" spans="2:14" x14ac:dyDescent="0.25">
      <c r="B861" s="74" t="s">
        <v>1130</v>
      </c>
      <c r="C861" s="75">
        <v>70368726</v>
      </c>
      <c r="D861" s="75" t="s">
        <v>254</v>
      </c>
      <c r="E861" s="75">
        <v>22</v>
      </c>
      <c r="F861" s="75" t="s">
        <v>246</v>
      </c>
      <c r="G861" s="75" t="s">
        <v>258</v>
      </c>
      <c r="H861" s="75">
        <v>3</v>
      </c>
      <c r="I861" s="76">
        <v>4050</v>
      </c>
      <c r="J861" s="75" t="s">
        <v>242</v>
      </c>
      <c r="K861" s="77">
        <v>1</v>
      </c>
      <c r="L861" s="78" t="s">
        <v>271</v>
      </c>
      <c r="M861" s="75" t="s">
        <v>1018</v>
      </c>
      <c r="N861" s="82">
        <v>81</v>
      </c>
    </row>
    <row r="862" spans="2:14" x14ac:dyDescent="0.25">
      <c r="B862" s="74" t="s">
        <v>1131</v>
      </c>
      <c r="C862" s="75">
        <v>56856316</v>
      </c>
      <c r="D862" s="75" t="s">
        <v>239</v>
      </c>
      <c r="E862" s="75">
        <v>44</v>
      </c>
      <c r="F862" s="75" t="s">
        <v>240</v>
      </c>
      <c r="G862" s="75" t="s">
        <v>258</v>
      </c>
      <c r="H862" s="75">
        <v>4</v>
      </c>
      <c r="I862" s="76">
        <v>6721</v>
      </c>
      <c r="J862" s="75" t="s">
        <v>242</v>
      </c>
      <c r="K862" s="77">
        <v>1</v>
      </c>
      <c r="L862" s="78" t="s">
        <v>210</v>
      </c>
      <c r="M862" s="75" t="s">
        <v>1018</v>
      </c>
      <c r="N862" s="82">
        <v>134.41999999999999</v>
      </c>
    </row>
    <row r="863" spans="2:14" x14ac:dyDescent="0.25">
      <c r="B863" s="74" t="s">
        <v>1132</v>
      </c>
      <c r="C863" s="75">
        <v>23611016</v>
      </c>
      <c r="D863" s="75" t="s">
        <v>254</v>
      </c>
      <c r="E863" s="75">
        <v>43</v>
      </c>
      <c r="F863" s="75" t="s">
        <v>246</v>
      </c>
      <c r="G863" s="75" t="s">
        <v>247</v>
      </c>
      <c r="H863" s="75">
        <v>1</v>
      </c>
      <c r="I863" s="76">
        <v>9002</v>
      </c>
      <c r="J863" s="75" t="s">
        <v>242</v>
      </c>
      <c r="K863" s="77">
        <v>1</v>
      </c>
      <c r="L863" s="78" t="s">
        <v>212</v>
      </c>
      <c r="M863" s="75" t="s">
        <v>1018</v>
      </c>
      <c r="N863" s="82">
        <v>180.04</v>
      </c>
    </row>
    <row r="864" spans="2:14" x14ac:dyDescent="0.25">
      <c r="B864" s="74" t="s">
        <v>1133</v>
      </c>
      <c r="C864" s="75">
        <v>38055069</v>
      </c>
      <c r="D864" s="75" t="s">
        <v>239</v>
      </c>
      <c r="E864" s="75">
        <v>46</v>
      </c>
      <c r="F864" s="75" t="s">
        <v>246</v>
      </c>
      <c r="G864" s="75" t="s">
        <v>241</v>
      </c>
      <c r="H864" s="75">
        <v>4</v>
      </c>
      <c r="I864" s="76">
        <v>8882</v>
      </c>
      <c r="J864" s="75" t="s">
        <v>269</v>
      </c>
      <c r="K864" s="77">
        <v>1</v>
      </c>
      <c r="L864" s="78" t="s">
        <v>213</v>
      </c>
      <c r="M864" s="75" t="s">
        <v>1018</v>
      </c>
      <c r="N864" s="82">
        <v>177.64</v>
      </c>
    </row>
    <row r="865" spans="2:14" x14ac:dyDescent="0.25">
      <c r="B865" s="74" t="s">
        <v>1134</v>
      </c>
      <c r="C865" s="75">
        <v>38100793</v>
      </c>
      <c r="D865" s="75" t="s">
        <v>254</v>
      </c>
      <c r="E865" s="75">
        <v>25</v>
      </c>
      <c r="F865" s="75" t="s">
        <v>255</v>
      </c>
      <c r="G865" s="75" t="s">
        <v>247</v>
      </c>
      <c r="H865" s="75">
        <v>0</v>
      </c>
      <c r="I865" s="76">
        <v>3152</v>
      </c>
      <c r="J865" s="75" t="s">
        <v>269</v>
      </c>
      <c r="K865" s="77">
        <v>1</v>
      </c>
      <c r="L865" s="78" t="s">
        <v>215</v>
      </c>
      <c r="M865" s="75" t="s">
        <v>1018</v>
      </c>
      <c r="N865" s="82">
        <v>63.04</v>
      </c>
    </row>
    <row r="866" spans="2:14" x14ac:dyDescent="0.25">
      <c r="B866" s="74" t="s">
        <v>1135</v>
      </c>
      <c r="C866" s="75">
        <v>44044357</v>
      </c>
      <c r="D866" s="75" t="s">
        <v>239</v>
      </c>
      <c r="E866" s="75">
        <v>40</v>
      </c>
      <c r="F866" s="75" t="s">
        <v>240</v>
      </c>
      <c r="G866" s="75" t="s">
        <v>252</v>
      </c>
      <c r="H866" s="75">
        <v>2</v>
      </c>
      <c r="I866" s="76">
        <v>2130</v>
      </c>
      <c r="J866" s="75" t="s">
        <v>269</v>
      </c>
      <c r="K866" s="77">
        <v>1</v>
      </c>
      <c r="L866" s="78" t="s">
        <v>210</v>
      </c>
      <c r="M866" s="75" t="s">
        <v>1018</v>
      </c>
      <c r="N866" s="82">
        <v>42.6</v>
      </c>
    </row>
    <row r="867" spans="2:14" x14ac:dyDescent="0.25">
      <c r="B867" s="74" t="s">
        <v>1136</v>
      </c>
      <c r="C867" s="75">
        <v>29637298</v>
      </c>
      <c r="D867" s="75" t="s">
        <v>239</v>
      </c>
      <c r="E867" s="75">
        <v>34</v>
      </c>
      <c r="F867" s="75" t="s">
        <v>251</v>
      </c>
      <c r="G867" s="75" t="s">
        <v>252</v>
      </c>
      <c r="H867" s="75">
        <v>0</v>
      </c>
      <c r="I867" s="76">
        <v>6443</v>
      </c>
      <c r="J867" s="75" t="s">
        <v>269</v>
      </c>
      <c r="K867" s="77">
        <v>1</v>
      </c>
      <c r="L867" s="78" t="s">
        <v>215</v>
      </c>
      <c r="M867" s="75" t="s">
        <v>1018</v>
      </c>
      <c r="N867" s="82">
        <v>128.86000000000001</v>
      </c>
    </row>
    <row r="868" spans="2:14" x14ac:dyDescent="0.25">
      <c r="B868" s="74" t="s">
        <v>1137</v>
      </c>
      <c r="C868" s="75">
        <v>33249010</v>
      </c>
      <c r="D868" s="75" t="s">
        <v>254</v>
      </c>
      <c r="E868" s="75">
        <v>27</v>
      </c>
      <c r="F868" s="75" t="s">
        <v>255</v>
      </c>
      <c r="G868" s="75" t="s">
        <v>252</v>
      </c>
      <c r="H868" s="75">
        <v>1</v>
      </c>
      <c r="I868" s="76">
        <v>6801</v>
      </c>
      <c r="J868" s="75" t="s">
        <v>256</v>
      </c>
      <c r="K868" s="77">
        <v>1</v>
      </c>
      <c r="L868" s="78" t="s">
        <v>209</v>
      </c>
      <c r="M868" s="75" t="s">
        <v>1018</v>
      </c>
      <c r="N868" s="82">
        <v>136.02000000000001</v>
      </c>
    </row>
    <row r="869" spans="2:14" x14ac:dyDescent="0.25">
      <c r="B869" s="74" t="s">
        <v>1138</v>
      </c>
      <c r="C869" s="75">
        <v>68362010</v>
      </c>
      <c r="D869" s="75" t="s">
        <v>239</v>
      </c>
      <c r="E869" s="75">
        <v>63</v>
      </c>
      <c r="F869" s="75" t="s">
        <v>240</v>
      </c>
      <c r="G869" s="75" t="s">
        <v>241</v>
      </c>
      <c r="H869" s="75">
        <v>2</v>
      </c>
      <c r="I869" s="76">
        <v>4913</v>
      </c>
      <c r="J869" s="75" t="s">
        <v>256</v>
      </c>
      <c r="K869" s="77">
        <v>0</v>
      </c>
      <c r="L869" s="78" t="s">
        <v>382</v>
      </c>
      <c r="M869" s="75" t="s">
        <v>1018</v>
      </c>
      <c r="N869" s="82">
        <v>0</v>
      </c>
    </row>
    <row r="870" spans="2:14" x14ac:dyDescent="0.25">
      <c r="B870" s="74" t="s">
        <v>1139</v>
      </c>
      <c r="C870" s="75">
        <v>24586697</v>
      </c>
      <c r="D870" s="75" t="s">
        <v>239</v>
      </c>
      <c r="E870" s="75">
        <v>46</v>
      </c>
      <c r="F870" s="75" t="s">
        <v>255</v>
      </c>
      <c r="G870" s="75" t="s">
        <v>252</v>
      </c>
      <c r="H870" s="75">
        <v>3</v>
      </c>
      <c r="I870" s="76">
        <v>6455</v>
      </c>
      <c r="J870" s="75" t="s">
        <v>248</v>
      </c>
      <c r="K870" s="77">
        <v>0</v>
      </c>
      <c r="L870" s="78" t="s">
        <v>382</v>
      </c>
      <c r="M870" s="75" t="s">
        <v>1018</v>
      </c>
      <c r="N870" s="82">
        <v>0</v>
      </c>
    </row>
    <row r="871" spans="2:14" x14ac:dyDescent="0.25">
      <c r="B871" s="74" t="s">
        <v>1140</v>
      </c>
      <c r="C871" s="75">
        <v>55991163</v>
      </c>
      <c r="D871" s="75" t="s">
        <v>254</v>
      </c>
      <c r="E871" s="75">
        <v>27</v>
      </c>
      <c r="F871" s="75" t="s">
        <v>251</v>
      </c>
      <c r="G871" s="75" t="s">
        <v>252</v>
      </c>
      <c r="H871" s="75">
        <v>1</v>
      </c>
      <c r="I871" s="76">
        <v>3515</v>
      </c>
      <c r="J871" s="75" t="s">
        <v>256</v>
      </c>
      <c r="K871" s="77">
        <v>0</v>
      </c>
      <c r="L871" s="78" t="s">
        <v>382</v>
      </c>
      <c r="M871" s="75" t="s">
        <v>1018</v>
      </c>
      <c r="N871" s="82">
        <v>0</v>
      </c>
    </row>
    <row r="872" spans="2:14" x14ac:dyDescent="0.25">
      <c r="B872" s="74" t="s">
        <v>1141</v>
      </c>
      <c r="C872" s="75">
        <v>61229089</v>
      </c>
      <c r="D872" s="75" t="s">
        <v>254</v>
      </c>
      <c r="E872" s="75">
        <v>24</v>
      </c>
      <c r="F872" s="75" t="s">
        <v>255</v>
      </c>
      <c r="G872" s="75" t="s">
        <v>247</v>
      </c>
      <c r="H872" s="75">
        <v>1</v>
      </c>
      <c r="I872" s="76">
        <v>3165</v>
      </c>
      <c r="J872" s="75" t="s">
        <v>248</v>
      </c>
      <c r="K872" s="77">
        <v>10</v>
      </c>
      <c r="L872" s="78" t="s">
        <v>193</v>
      </c>
      <c r="M872" s="75" t="s">
        <v>1142</v>
      </c>
      <c r="N872" s="82">
        <v>316.5</v>
      </c>
    </row>
    <row r="873" spans="2:14" x14ac:dyDescent="0.25">
      <c r="B873" s="74" t="s">
        <v>1143</v>
      </c>
      <c r="C873" s="75">
        <v>51293448</v>
      </c>
      <c r="D873" s="75" t="s">
        <v>254</v>
      </c>
      <c r="E873" s="75">
        <v>30</v>
      </c>
      <c r="F873" s="75" t="s">
        <v>251</v>
      </c>
      <c r="G873" s="75" t="s">
        <v>258</v>
      </c>
      <c r="H873" s="75">
        <v>0</v>
      </c>
      <c r="I873" s="76">
        <v>5579</v>
      </c>
      <c r="J873" s="75" t="s">
        <v>256</v>
      </c>
      <c r="K873" s="77">
        <v>10</v>
      </c>
      <c r="L873" s="78" t="s">
        <v>209</v>
      </c>
      <c r="M873" s="75" t="s">
        <v>1142</v>
      </c>
      <c r="N873" s="82">
        <v>557.9</v>
      </c>
    </row>
    <row r="874" spans="2:14" x14ac:dyDescent="0.25">
      <c r="B874" s="74" t="s">
        <v>1144</v>
      </c>
      <c r="C874" s="75">
        <v>70107277</v>
      </c>
      <c r="D874" s="75" t="s">
        <v>254</v>
      </c>
      <c r="E874" s="75">
        <v>30</v>
      </c>
      <c r="F874" s="75" t="s">
        <v>251</v>
      </c>
      <c r="G874" s="75" t="s">
        <v>241</v>
      </c>
      <c r="H874" s="75">
        <v>2</v>
      </c>
      <c r="I874" s="76">
        <v>8253</v>
      </c>
      <c r="J874" s="75" t="s">
        <v>248</v>
      </c>
      <c r="K874" s="77">
        <v>10</v>
      </c>
      <c r="L874" s="78" t="s">
        <v>193</v>
      </c>
      <c r="M874" s="75" t="s">
        <v>1142</v>
      </c>
      <c r="N874" s="82">
        <v>825.3</v>
      </c>
    </row>
    <row r="875" spans="2:14" x14ac:dyDescent="0.25">
      <c r="B875" s="74" t="s">
        <v>1145</v>
      </c>
      <c r="C875" s="75">
        <v>67387834</v>
      </c>
      <c r="D875" s="75" t="s">
        <v>239</v>
      </c>
      <c r="E875" s="75">
        <v>57</v>
      </c>
      <c r="F875" s="75" t="s">
        <v>255</v>
      </c>
      <c r="G875" s="75" t="s">
        <v>247</v>
      </c>
      <c r="H875" s="75">
        <v>2</v>
      </c>
      <c r="I875" s="76">
        <v>9630</v>
      </c>
      <c r="J875" s="75" t="s">
        <v>242</v>
      </c>
      <c r="K875" s="77">
        <v>10</v>
      </c>
      <c r="L875" s="78" t="s">
        <v>203</v>
      </c>
      <c r="M875" s="75" t="s">
        <v>1142</v>
      </c>
      <c r="N875" s="82">
        <v>963</v>
      </c>
    </row>
    <row r="876" spans="2:14" x14ac:dyDescent="0.25">
      <c r="B876" s="74" t="s">
        <v>1146</v>
      </c>
      <c r="C876" s="75">
        <v>69425251</v>
      </c>
      <c r="D876" s="75" t="s">
        <v>254</v>
      </c>
      <c r="E876" s="75">
        <v>30</v>
      </c>
      <c r="F876" s="75" t="s">
        <v>240</v>
      </c>
      <c r="G876" s="75" t="s">
        <v>252</v>
      </c>
      <c r="H876" s="75">
        <v>3</v>
      </c>
      <c r="I876" s="76">
        <v>9045</v>
      </c>
      <c r="J876" s="75" t="s">
        <v>262</v>
      </c>
      <c r="K876" s="77">
        <v>10</v>
      </c>
      <c r="L876" s="78" t="s">
        <v>210</v>
      </c>
      <c r="M876" s="75" t="s">
        <v>1142</v>
      </c>
      <c r="N876" s="82">
        <v>904.5</v>
      </c>
    </row>
    <row r="877" spans="2:14" x14ac:dyDescent="0.25">
      <c r="B877" s="74" t="s">
        <v>1147</v>
      </c>
      <c r="C877" s="75">
        <v>24474843</v>
      </c>
      <c r="D877" s="75" t="s">
        <v>254</v>
      </c>
      <c r="E877" s="75">
        <v>29</v>
      </c>
      <c r="F877" s="75" t="s">
        <v>255</v>
      </c>
      <c r="G877" s="75" t="s">
        <v>247</v>
      </c>
      <c r="H877" s="75">
        <v>0</v>
      </c>
      <c r="I877" s="76">
        <v>8031</v>
      </c>
      <c r="J877" s="75" t="s">
        <v>269</v>
      </c>
      <c r="K877" s="77">
        <v>10</v>
      </c>
      <c r="L877" s="78" t="s">
        <v>210</v>
      </c>
      <c r="M877" s="75" t="s">
        <v>1142</v>
      </c>
      <c r="N877" s="82">
        <v>803.1</v>
      </c>
    </row>
    <row r="878" spans="2:14" x14ac:dyDescent="0.25">
      <c r="B878" s="74" t="s">
        <v>1148</v>
      </c>
      <c r="C878" s="75">
        <v>44401962</v>
      </c>
      <c r="D878" s="75" t="s">
        <v>239</v>
      </c>
      <c r="E878" s="75">
        <v>52</v>
      </c>
      <c r="F878" s="75" t="s">
        <v>255</v>
      </c>
      <c r="G878" s="75" t="s">
        <v>241</v>
      </c>
      <c r="H878" s="75">
        <v>3</v>
      </c>
      <c r="I878" s="76">
        <v>7333</v>
      </c>
      <c r="J878" s="75" t="s">
        <v>269</v>
      </c>
      <c r="K878" s="77">
        <v>10</v>
      </c>
      <c r="L878" s="78" t="s">
        <v>193</v>
      </c>
      <c r="M878" s="75" t="s">
        <v>1142</v>
      </c>
      <c r="N878" s="82">
        <v>733.3</v>
      </c>
    </row>
    <row r="879" spans="2:14" x14ac:dyDescent="0.25">
      <c r="B879" s="74" t="s">
        <v>1149</v>
      </c>
      <c r="C879" s="75">
        <v>51686211</v>
      </c>
      <c r="D879" s="75" t="s">
        <v>254</v>
      </c>
      <c r="E879" s="75">
        <v>27</v>
      </c>
      <c r="F879" s="75" t="s">
        <v>251</v>
      </c>
      <c r="G879" s="75" t="s">
        <v>252</v>
      </c>
      <c r="H879" s="75">
        <v>4</v>
      </c>
      <c r="I879" s="76">
        <v>5997</v>
      </c>
      <c r="J879" s="75" t="s">
        <v>248</v>
      </c>
      <c r="K879" s="77">
        <v>10</v>
      </c>
      <c r="L879" s="78" t="s">
        <v>212</v>
      </c>
      <c r="M879" s="75" t="s">
        <v>1142</v>
      </c>
      <c r="N879" s="82">
        <v>599.70000000000005</v>
      </c>
    </row>
    <row r="880" spans="2:14" x14ac:dyDescent="0.25">
      <c r="B880" s="74" t="s">
        <v>1150</v>
      </c>
      <c r="C880" s="75">
        <v>40133500</v>
      </c>
      <c r="D880" s="75" t="s">
        <v>254</v>
      </c>
      <c r="E880" s="75">
        <v>57</v>
      </c>
      <c r="F880" s="75" t="s">
        <v>240</v>
      </c>
      <c r="G880" s="75" t="s">
        <v>241</v>
      </c>
      <c r="H880" s="75">
        <v>2</v>
      </c>
      <c r="I880" s="76">
        <v>7219</v>
      </c>
      <c r="J880" s="75" t="s">
        <v>242</v>
      </c>
      <c r="K880" s="77">
        <v>10</v>
      </c>
      <c r="L880" s="78" t="s">
        <v>215</v>
      </c>
      <c r="M880" s="75" t="s">
        <v>1142</v>
      </c>
      <c r="N880" s="82">
        <v>721.9</v>
      </c>
    </row>
    <row r="881" spans="2:14" x14ac:dyDescent="0.25">
      <c r="B881" s="74" t="s">
        <v>1151</v>
      </c>
      <c r="C881" s="75">
        <v>53540344</v>
      </c>
      <c r="D881" s="75" t="s">
        <v>254</v>
      </c>
      <c r="E881" s="75">
        <v>38</v>
      </c>
      <c r="F881" s="75" t="s">
        <v>246</v>
      </c>
      <c r="G881" s="75" t="s">
        <v>258</v>
      </c>
      <c r="H881" s="75">
        <v>1</v>
      </c>
      <c r="I881" s="76">
        <v>3244</v>
      </c>
      <c r="J881" s="75" t="s">
        <v>248</v>
      </c>
      <c r="K881" s="77">
        <v>9</v>
      </c>
      <c r="L881" s="78" t="s">
        <v>243</v>
      </c>
      <c r="M881" s="75" t="s">
        <v>1142</v>
      </c>
      <c r="N881" s="82">
        <v>291.95999999999998</v>
      </c>
    </row>
    <row r="882" spans="2:14" x14ac:dyDescent="0.25">
      <c r="B882" s="74" t="s">
        <v>1152</v>
      </c>
      <c r="C882" s="75">
        <v>47334103</v>
      </c>
      <c r="D882" s="75" t="s">
        <v>254</v>
      </c>
      <c r="E882" s="75">
        <v>39</v>
      </c>
      <c r="F882" s="75" t="s">
        <v>240</v>
      </c>
      <c r="G882" s="75" t="s">
        <v>258</v>
      </c>
      <c r="H882" s="75">
        <v>3</v>
      </c>
      <c r="I882" s="76">
        <v>7535</v>
      </c>
      <c r="J882" s="75" t="s">
        <v>269</v>
      </c>
      <c r="K882" s="77">
        <v>9</v>
      </c>
      <c r="L882" s="78" t="s">
        <v>214</v>
      </c>
      <c r="M882" s="75" t="s">
        <v>1142</v>
      </c>
      <c r="N882" s="82">
        <v>678.15</v>
      </c>
    </row>
    <row r="883" spans="2:14" x14ac:dyDescent="0.25">
      <c r="B883" s="74" t="s">
        <v>1153</v>
      </c>
      <c r="C883" s="75">
        <v>54570041</v>
      </c>
      <c r="D883" s="75" t="s">
        <v>239</v>
      </c>
      <c r="E883" s="75">
        <v>26</v>
      </c>
      <c r="F883" s="75" t="s">
        <v>251</v>
      </c>
      <c r="G883" s="75" t="s">
        <v>241</v>
      </c>
      <c r="H883" s="75">
        <v>2</v>
      </c>
      <c r="I883" s="76">
        <v>5112</v>
      </c>
      <c r="J883" s="75" t="s">
        <v>248</v>
      </c>
      <c r="K883" s="77">
        <v>9</v>
      </c>
      <c r="L883" s="78" t="s">
        <v>215</v>
      </c>
      <c r="M883" s="75" t="s">
        <v>1142</v>
      </c>
      <c r="N883" s="82">
        <v>460.08</v>
      </c>
    </row>
    <row r="884" spans="2:14" x14ac:dyDescent="0.25">
      <c r="B884" s="74" t="s">
        <v>1154</v>
      </c>
      <c r="C884" s="75">
        <v>28159538</v>
      </c>
      <c r="D884" s="75" t="s">
        <v>254</v>
      </c>
      <c r="E884" s="75">
        <v>54</v>
      </c>
      <c r="F884" s="75" t="s">
        <v>251</v>
      </c>
      <c r="G884" s="75" t="s">
        <v>252</v>
      </c>
      <c r="H884" s="75">
        <v>1</v>
      </c>
      <c r="I884" s="76">
        <v>8886</v>
      </c>
      <c r="J884" s="75" t="s">
        <v>256</v>
      </c>
      <c r="K884" s="77">
        <v>9</v>
      </c>
      <c r="L884" s="78" t="s">
        <v>203</v>
      </c>
      <c r="M884" s="75" t="s">
        <v>1142</v>
      </c>
      <c r="N884" s="82">
        <v>799.74</v>
      </c>
    </row>
    <row r="885" spans="2:14" x14ac:dyDescent="0.25">
      <c r="B885" s="74" t="s">
        <v>1155</v>
      </c>
      <c r="C885" s="75">
        <v>38210814</v>
      </c>
      <c r="D885" s="75" t="s">
        <v>239</v>
      </c>
      <c r="E885" s="75">
        <v>24</v>
      </c>
      <c r="F885" s="75" t="s">
        <v>246</v>
      </c>
      <c r="G885" s="75" t="s">
        <v>258</v>
      </c>
      <c r="H885" s="75">
        <v>1</v>
      </c>
      <c r="I885" s="76">
        <v>6652</v>
      </c>
      <c r="J885" s="75" t="s">
        <v>256</v>
      </c>
      <c r="K885" s="77">
        <v>9</v>
      </c>
      <c r="L885" s="78" t="s">
        <v>263</v>
      </c>
      <c r="M885" s="75" t="s">
        <v>1142</v>
      </c>
      <c r="N885" s="82">
        <v>598.67999999999995</v>
      </c>
    </row>
    <row r="886" spans="2:14" x14ac:dyDescent="0.25">
      <c r="B886" s="74" t="s">
        <v>1156</v>
      </c>
      <c r="C886" s="75">
        <v>31795606</v>
      </c>
      <c r="D886" s="75" t="s">
        <v>239</v>
      </c>
      <c r="E886" s="75">
        <v>47</v>
      </c>
      <c r="F886" s="75" t="s">
        <v>240</v>
      </c>
      <c r="G886" s="75" t="s">
        <v>252</v>
      </c>
      <c r="H886" s="75">
        <v>2</v>
      </c>
      <c r="I886" s="76">
        <v>8934</v>
      </c>
      <c r="J886" s="75" t="s">
        <v>248</v>
      </c>
      <c r="K886" s="77">
        <v>9</v>
      </c>
      <c r="L886" s="78" t="s">
        <v>263</v>
      </c>
      <c r="M886" s="75" t="s">
        <v>1142</v>
      </c>
      <c r="N886" s="82">
        <v>804.06</v>
      </c>
    </row>
    <row r="887" spans="2:14" x14ac:dyDescent="0.25">
      <c r="B887" s="74" t="s">
        <v>1157</v>
      </c>
      <c r="C887" s="75">
        <v>66691058</v>
      </c>
      <c r="D887" s="75" t="s">
        <v>254</v>
      </c>
      <c r="E887" s="75">
        <v>48</v>
      </c>
      <c r="F887" s="75" t="s">
        <v>255</v>
      </c>
      <c r="G887" s="75" t="s">
        <v>241</v>
      </c>
      <c r="H887" s="75">
        <v>0</v>
      </c>
      <c r="I887" s="76">
        <v>8791</v>
      </c>
      <c r="J887" s="75" t="s">
        <v>269</v>
      </c>
      <c r="K887" s="77">
        <v>9</v>
      </c>
      <c r="L887" s="78" t="s">
        <v>212</v>
      </c>
      <c r="M887" s="75" t="s">
        <v>1142</v>
      </c>
      <c r="N887" s="82">
        <v>791.19</v>
      </c>
    </row>
    <row r="888" spans="2:14" x14ac:dyDescent="0.25">
      <c r="B888" s="74" t="s">
        <v>1158</v>
      </c>
      <c r="C888" s="75">
        <v>27453024</v>
      </c>
      <c r="D888" s="75" t="s">
        <v>239</v>
      </c>
      <c r="E888" s="75">
        <v>28</v>
      </c>
      <c r="F888" s="75" t="s">
        <v>240</v>
      </c>
      <c r="G888" s="75" t="s">
        <v>247</v>
      </c>
      <c r="H888" s="75">
        <v>1</v>
      </c>
      <c r="I888" s="76">
        <v>9039</v>
      </c>
      <c r="J888" s="75" t="s">
        <v>269</v>
      </c>
      <c r="K888" s="77">
        <v>9</v>
      </c>
      <c r="L888" s="78" t="s">
        <v>214</v>
      </c>
      <c r="M888" s="75" t="s">
        <v>1142</v>
      </c>
      <c r="N888" s="82">
        <v>813.51</v>
      </c>
    </row>
    <row r="889" spans="2:14" x14ac:dyDescent="0.25">
      <c r="B889" s="74" t="s">
        <v>1159</v>
      </c>
      <c r="C889" s="75">
        <v>52304757</v>
      </c>
      <c r="D889" s="75" t="s">
        <v>239</v>
      </c>
      <c r="E889" s="75">
        <v>18</v>
      </c>
      <c r="F889" s="75" t="s">
        <v>255</v>
      </c>
      <c r="G889" s="75" t="s">
        <v>252</v>
      </c>
      <c r="H889" s="75">
        <v>4</v>
      </c>
      <c r="I889" s="76">
        <v>3110</v>
      </c>
      <c r="J889" s="75" t="s">
        <v>262</v>
      </c>
      <c r="K889" s="77">
        <v>9</v>
      </c>
      <c r="L889" s="78" t="s">
        <v>214</v>
      </c>
      <c r="M889" s="75" t="s">
        <v>1142</v>
      </c>
      <c r="N889" s="82">
        <v>279.89999999999998</v>
      </c>
    </row>
    <row r="890" spans="2:14" x14ac:dyDescent="0.25">
      <c r="B890" s="74" t="s">
        <v>1160</v>
      </c>
      <c r="C890" s="75">
        <v>35796399</v>
      </c>
      <c r="D890" s="75" t="s">
        <v>239</v>
      </c>
      <c r="E890" s="75">
        <v>35</v>
      </c>
      <c r="F890" s="75" t="s">
        <v>240</v>
      </c>
      <c r="G890" s="75" t="s">
        <v>258</v>
      </c>
      <c r="H890" s="75">
        <v>2</v>
      </c>
      <c r="I890" s="76">
        <v>5068</v>
      </c>
      <c r="J890" s="75" t="s">
        <v>262</v>
      </c>
      <c r="K890" s="77">
        <v>8</v>
      </c>
      <c r="L890" s="78" t="s">
        <v>193</v>
      </c>
      <c r="M890" s="75" t="s">
        <v>1142</v>
      </c>
      <c r="N890" s="82">
        <v>405.44</v>
      </c>
    </row>
    <row r="891" spans="2:14" x14ac:dyDescent="0.25">
      <c r="B891" s="74" t="s">
        <v>1161</v>
      </c>
      <c r="C891" s="75">
        <v>25889606</v>
      </c>
      <c r="D891" s="75" t="s">
        <v>254</v>
      </c>
      <c r="E891" s="75">
        <v>61</v>
      </c>
      <c r="F891" s="75" t="s">
        <v>255</v>
      </c>
      <c r="G891" s="75" t="s">
        <v>252</v>
      </c>
      <c r="H891" s="75">
        <v>2</v>
      </c>
      <c r="I891" s="76">
        <v>6831</v>
      </c>
      <c r="J891" s="75" t="s">
        <v>248</v>
      </c>
      <c r="K891" s="77">
        <v>8</v>
      </c>
      <c r="L891" s="78" t="s">
        <v>210</v>
      </c>
      <c r="M891" s="75" t="s">
        <v>1142</v>
      </c>
      <c r="N891" s="82">
        <v>546.48</v>
      </c>
    </row>
    <row r="892" spans="2:14" x14ac:dyDescent="0.25">
      <c r="B892" s="74" t="s">
        <v>1162</v>
      </c>
      <c r="C892" s="75">
        <v>48752944</v>
      </c>
      <c r="D892" s="75" t="s">
        <v>239</v>
      </c>
      <c r="E892" s="75">
        <v>62</v>
      </c>
      <c r="F892" s="75" t="s">
        <v>246</v>
      </c>
      <c r="G892" s="75" t="s">
        <v>258</v>
      </c>
      <c r="H892" s="75">
        <v>3</v>
      </c>
      <c r="I892" s="76">
        <v>2822</v>
      </c>
      <c r="J892" s="75" t="s">
        <v>242</v>
      </c>
      <c r="K892" s="77">
        <v>8</v>
      </c>
      <c r="L892" s="78" t="s">
        <v>210</v>
      </c>
      <c r="M892" s="75" t="s">
        <v>1142</v>
      </c>
      <c r="N892" s="82">
        <v>225.76</v>
      </c>
    </row>
    <row r="893" spans="2:14" x14ac:dyDescent="0.25">
      <c r="B893" s="74" t="s">
        <v>1163</v>
      </c>
      <c r="C893" s="75">
        <v>69194270</v>
      </c>
      <c r="D893" s="75" t="s">
        <v>239</v>
      </c>
      <c r="E893" s="75">
        <v>48</v>
      </c>
      <c r="F893" s="75" t="s">
        <v>240</v>
      </c>
      <c r="G893" s="75" t="s">
        <v>258</v>
      </c>
      <c r="H893" s="75">
        <v>4</v>
      </c>
      <c r="I893" s="76">
        <v>6057</v>
      </c>
      <c r="J893" s="75" t="s">
        <v>256</v>
      </c>
      <c r="K893" s="77">
        <v>8</v>
      </c>
      <c r="L893" s="78" t="s">
        <v>243</v>
      </c>
      <c r="M893" s="75" t="s">
        <v>1142</v>
      </c>
      <c r="N893" s="82">
        <v>484.56</v>
      </c>
    </row>
    <row r="894" spans="2:14" x14ac:dyDescent="0.25">
      <c r="B894" s="74" t="s">
        <v>1164</v>
      </c>
      <c r="C894" s="75">
        <v>35545534</v>
      </c>
      <c r="D894" s="75" t="s">
        <v>254</v>
      </c>
      <c r="E894" s="75">
        <v>44</v>
      </c>
      <c r="F894" s="75" t="s">
        <v>251</v>
      </c>
      <c r="G894" s="75" t="s">
        <v>258</v>
      </c>
      <c r="H894" s="75">
        <v>2</v>
      </c>
      <c r="I894" s="76">
        <v>6676</v>
      </c>
      <c r="J894" s="75" t="s">
        <v>262</v>
      </c>
      <c r="K894" s="77">
        <v>8</v>
      </c>
      <c r="L894" s="78" t="s">
        <v>214</v>
      </c>
      <c r="M894" s="75" t="s">
        <v>1142</v>
      </c>
      <c r="N894" s="82">
        <v>534.08000000000004</v>
      </c>
    </row>
    <row r="895" spans="2:14" x14ac:dyDescent="0.25">
      <c r="B895" s="74" t="s">
        <v>1165</v>
      </c>
      <c r="C895" s="75">
        <v>28343851</v>
      </c>
      <c r="D895" s="75" t="s">
        <v>254</v>
      </c>
      <c r="E895" s="75">
        <v>62</v>
      </c>
      <c r="F895" s="75" t="s">
        <v>255</v>
      </c>
      <c r="G895" s="75" t="s">
        <v>241</v>
      </c>
      <c r="H895" s="75">
        <v>0</v>
      </c>
      <c r="I895" s="76">
        <v>3428</v>
      </c>
      <c r="J895" s="75" t="s">
        <v>248</v>
      </c>
      <c r="K895" s="77">
        <v>8</v>
      </c>
      <c r="L895" s="78" t="s">
        <v>271</v>
      </c>
      <c r="M895" s="75" t="s">
        <v>1142</v>
      </c>
      <c r="N895" s="82">
        <v>274.24</v>
      </c>
    </row>
    <row r="896" spans="2:14" x14ac:dyDescent="0.25">
      <c r="B896" s="74" t="s">
        <v>1166</v>
      </c>
      <c r="C896" s="75">
        <v>38752958</v>
      </c>
      <c r="D896" s="75" t="s">
        <v>254</v>
      </c>
      <c r="E896" s="75">
        <v>58</v>
      </c>
      <c r="F896" s="75" t="s">
        <v>246</v>
      </c>
      <c r="G896" s="75" t="s">
        <v>241</v>
      </c>
      <c r="H896" s="75">
        <v>4</v>
      </c>
      <c r="I896" s="76">
        <v>9550</v>
      </c>
      <c r="J896" s="75" t="s">
        <v>256</v>
      </c>
      <c r="K896" s="77">
        <v>8</v>
      </c>
      <c r="L896" s="78" t="s">
        <v>263</v>
      </c>
      <c r="M896" s="75" t="s">
        <v>1142</v>
      </c>
      <c r="N896" s="82">
        <v>764</v>
      </c>
    </row>
    <row r="897" spans="2:14" x14ac:dyDescent="0.25">
      <c r="B897" s="74" t="s">
        <v>1167</v>
      </c>
      <c r="C897" s="75">
        <v>27888846</v>
      </c>
      <c r="D897" s="75" t="s">
        <v>254</v>
      </c>
      <c r="E897" s="75">
        <v>28</v>
      </c>
      <c r="F897" s="75" t="s">
        <v>240</v>
      </c>
      <c r="G897" s="75" t="s">
        <v>252</v>
      </c>
      <c r="H897" s="75">
        <v>2</v>
      </c>
      <c r="I897" s="76">
        <v>3951</v>
      </c>
      <c r="J897" s="75" t="s">
        <v>248</v>
      </c>
      <c r="K897" s="77">
        <v>8</v>
      </c>
      <c r="L897" s="78" t="s">
        <v>214</v>
      </c>
      <c r="M897" s="75" t="s">
        <v>1142</v>
      </c>
      <c r="N897" s="82">
        <v>316.08</v>
      </c>
    </row>
    <row r="898" spans="2:14" x14ac:dyDescent="0.25">
      <c r="B898" s="74" t="s">
        <v>1168</v>
      </c>
      <c r="C898" s="75">
        <v>34135814</v>
      </c>
      <c r="D898" s="75" t="s">
        <v>239</v>
      </c>
      <c r="E898" s="75">
        <v>61</v>
      </c>
      <c r="F898" s="75" t="s">
        <v>251</v>
      </c>
      <c r="G898" s="75" t="s">
        <v>247</v>
      </c>
      <c r="H898" s="75">
        <v>2</v>
      </c>
      <c r="I898" s="76">
        <v>3294</v>
      </c>
      <c r="J898" s="75" t="s">
        <v>248</v>
      </c>
      <c r="K898" s="77">
        <v>8</v>
      </c>
      <c r="L898" s="78" t="s">
        <v>279</v>
      </c>
      <c r="M898" s="75" t="s">
        <v>1142</v>
      </c>
      <c r="N898" s="82">
        <v>263.52</v>
      </c>
    </row>
    <row r="899" spans="2:14" x14ac:dyDescent="0.25">
      <c r="B899" s="74" t="s">
        <v>1169</v>
      </c>
      <c r="C899" s="75">
        <v>44818535</v>
      </c>
      <c r="D899" s="75" t="s">
        <v>239</v>
      </c>
      <c r="E899" s="75">
        <v>42</v>
      </c>
      <c r="F899" s="75" t="s">
        <v>240</v>
      </c>
      <c r="G899" s="75" t="s">
        <v>247</v>
      </c>
      <c r="H899" s="75">
        <v>4</v>
      </c>
      <c r="I899" s="76">
        <v>9085</v>
      </c>
      <c r="J899" s="75" t="s">
        <v>269</v>
      </c>
      <c r="K899" s="77">
        <v>8</v>
      </c>
      <c r="L899" s="78" t="s">
        <v>243</v>
      </c>
      <c r="M899" s="75" t="s">
        <v>1142</v>
      </c>
      <c r="N899" s="82">
        <v>726.8</v>
      </c>
    </row>
    <row r="900" spans="2:14" x14ac:dyDescent="0.25">
      <c r="B900" s="74" t="s">
        <v>1170</v>
      </c>
      <c r="C900" s="75">
        <v>41652709</v>
      </c>
      <c r="D900" s="75" t="s">
        <v>254</v>
      </c>
      <c r="E900" s="75">
        <v>49</v>
      </c>
      <c r="F900" s="75" t="s">
        <v>240</v>
      </c>
      <c r="G900" s="75" t="s">
        <v>241</v>
      </c>
      <c r="H900" s="75">
        <v>2</v>
      </c>
      <c r="I900" s="76">
        <v>9169</v>
      </c>
      <c r="J900" s="75" t="s">
        <v>248</v>
      </c>
      <c r="K900" s="77">
        <v>8</v>
      </c>
      <c r="L900" s="78" t="s">
        <v>209</v>
      </c>
      <c r="M900" s="75" t="s">
        <v>1142</v>
      </c>
      <c r="N900" s="82">
        <v>733.52</v>
      </c>
    </row>
    <row r="901" spans="2:14" x14ac:dyDescent="0.25">
      <c r="B901" s="74" t="s">
        <v>1171</v>
      </c>
      <c r="C901" s="75">
        <v>42659916</v>
      </c>
      <c r="D901" s="75" t="s">
        <v>254</v>
      </c>
      <c r="E901" s="75">
        <v>27</v>
      </c>
      <c r="F901" s="75" t="s">
        <v>246</v>
      </c>
      <c r="G901" s="75" t="s">
        <v>252</v>
      </c>
      <c r="H901" s="75">
        <v>1</v>
      </c>
      <c r="I901" s="76">
        <v>7247</v>
      </c>
      <c r="J901" s="75" t="s">
        <v>248</v>
      </c>
      <c r="K901" s="77">
        <v>7</v>
      </c>
      <c r="L901" s="78" t="s">
        <v>243</v>
      </c>
      <c r="M901" s="75" t="s">
        <v>1142</v>
      </c>
      <c r="N901" s="82">
        <v>507.29</v>
      </c>
    </row>
    <row r="902" spans="2:14" x14ac:dyDescent="0.25">
      <c r="B902" s="74" t="s">
        <v>1172</v>
      </c>
      <c r="C902" s="75">
        <v>51054901</v>
      </c>
      <c r="D902" s="75" t="s">
        <v>239</v>
      </c>
      <c r="E902" s="75">
        <v>24</v>
      </c>
      <c r="F902" s="75" t="s">
        <v>246</v>
      </c>
      <c r="G902" s="75" t="s">
        <v>252</v>
      </c>
      <c r="H902" s="75">
        <v>2</v>
      </c>
      <c r="I902" s="76">
        <v>6042</v>
      </c>
      <c r="J902" s="75" t="s">
        <v>256</v>
      </c>
      <c r="K902" s="77">
        <v>7</v>
      </c>
      <c r="L902" s="78" t="s">
        <v>209</v>
      </c>
      <c r="M902" s="75" t="s">
        <v>1142</v>
      </c>
      <c r="N902" s="82">
        <v>422.94</v>
      </c>
    </row>
    <row r="903" spans="2:14" x14ac:dyDescent="0.25">
      <c r="B903" s="74" t="s">
        <v>1173</v>
      </c>
      <c r="C903" s="75">
        <v>64610559</v>
      </c>
      <c r="D903" s="75" t="s">
        <v>254</v>
      </c>
      <c r="E903" s="75">
        <v>58</v>
      </c>
      <c r="F903" s="75" t="s">
        <v>240</v>
      </c>
      <c r="G903" s="75" t="s">
        <v>241</v>
      </c>
      <c r="H903" s="75">
        <v>1</v>
      </c>
      <c r="I903" s="76">
        <v>3996</v>
      </c>
      <c r="J903" s="75" t="s">
        <v>242</v>
      </c>
      <c r="K903" s="77">
        <v>7</v>
      </c>
      <c r="L903" s="78" t="s">
        <v>215</v>
      </c>
      <c r="M903" s="75" t="s">
        <v>1142</v>
      </c>
      <c r="N903" s="82">
        <v>279.72000000000003</v>
      </c>
    </row>
    <row r="904" spans="2:14" x14ac:dyDescent="0.25">
      <c r="B904" s="74" t="s">
        <v>1174</v>
      </c>
      <c r="C904" s="75">
        <v>59461808</v>
      </c>
      <c r="D904" s="75" t="s">
        <v>254</v>
      </c>
      <c r="E904" s="75">
        <v>43</v>
      </c>
      <c r="F904" s="75" t="s">
        <v>255</v>
      </c>
      <c r="G904" s="75" t="s">
        <v>252</v>
      </c>
      <c r="H904" s="75">
        <v>4</v>
      </c>
      <c r="I904" s="76">
        <v>7735</v>
      </c>
      <c r="J904" s="75" t="s">
        <v>242</v>
      </c>
      <c r="K904" s="77">
        <v>7</v>
      </c>
      <c r="L904" s="78" t="s">
        <v>263</v>
      </c>
      <c r="M904" s="75" t="s">
        <v>1142</v>
      </c>
      <c r="N904" s="82">
        <v>541.45000000000005</v>
      </c>
    </row>
    <row r="905" spans="2:14" x14ac:dyDescent="0.25">
      <c r="B905" s="74" t="s">
        <v>1175</v>
      </c>
      <c r="C905" s="75">
        <v>46983501</v>
      </c>
      <c r="D905" s="75" t="s">
        <v>254</v>
      </c>
      <c r="E905" s="75">
        <v>55</v>
      </c>
      <c r="F905" s="75" t="s">
        <v>240</v>
      </c>
      <c r="G905" s="75" t="s">
        <v>247</v>
      </c>
      <c r="H905" s="75">
        <v>1</v>
      </c>
      <c r="I905" s="76">
        <v>5796</v>
      </c>
      <c r="J905" s="75" t="s">
        <v>269</v>
      </c>
      <c r="K905" s="77">
        <v>7</v>
      </c>
      <c r="L905" s="78" t="s">
        <v>209</v>
      </c>
      <c r="M905" s="75" t="s">
        <v>1142</v>
      </c>
      <c r="N905" s="82">
        <v>405.72</v>
      </c>
    </row>
    <row r="906" spans="2:14" x14ac:dyDescent="0.25">
      <c r="B906" s="74" t="s">
        <v>1176</v>
      </c>
      <c r="C906" s="75">
        <v>70052610</v>
      </c>
      <c r="D906" s="75" t="s">
        <v>239</v>
      </c>
      <c r="E906" s="75">
        <v>57</v>
      </c>
      <c r="F906" s="75" t="s">
        <v>251</v>
      </c>
      <c r="G906" s="75" t="s">
        <v>258</v>
      </c>
      <c r="H906" s="75">
        <v>4</v>
      </c>
      <c r="I906" s="76">
        <v>7191</v>
      </c>
      <c r="J906" s="75" t="s">
        <v>269</v>
      </c>
      <c r="K906" s="77">
        <v>7</v>
      </c>
      <c r="L906" s="78" t="s">
        <v>263</v>
      </c>
      <c r="M906" s="75" t="s">
        <v>1142</v>
      </c>
      <c r="N906" s="82">
        <v>503.37</v>
      </c>
    </row>
    <row r="907" spans="2:14" x14ac:dyDescent="0.25">
      <c r="B907" s="74" t="s">
        <v>1177</v>
      </c>
      <c r="C907" s="75">
        <v>22193028</v>
      </c>
      <c r="D907" s="75" t="s">
        <v>239</v>
      </c>
      <c r="E907" s="75">
        <v>34</v>
      </c>
      <c r="F907" s="75" t="s">
        <v>246</v>
      </c>
      <c r="G907" s="75" t="s">
        <v>258</v>
      </c>
      <c r="H907" s="75">
        <v>2</v>
      </c>
      <c r="I907" s="76">
        <v>3519</v>
      </c>
      <c r="J907" s="75" t="s">
        <v>256</v>
      </c>
      <c r="K907" s="77">
        <v>7</v>
      </c>
      <c r="L907" s="78" t="s">
        <v>210</v>
      </c>
      <c r="M907" s="75" t="s">
        <v>1142</v>
      </c>
      <c r="N907" s="82">
        <v>246.33</v>
      </c>
    </row>
    <row r="908" spans="2:14" x14ac:dyDescent="0.25">
      <c r="B908" s="74" t="s">
        <v>1178</v>
      </c>
      <c r="C908" s="75">
        <v>61096783</v>
      </c>
      <c r="D908" s="75" t="s">
        <v>239</v>
      </c>
      <c r="E908" s="75">
        <v>21</v>
      </c>
      <c r="F908" s="75" t="s">
        <v>246</v>
      </c>
      <c r="G908" s="75" t="s">
        <v>252</v>
      </c>
      <c r="H908" s="75">
        <v>3</v>
      </c>
      <c r="I908" s="76">
        <v>9816</v>
      </c>
      <c r="J908" s="75" t="s">
        <v>242</v>
      </c>
      <c r="K908" s="77">
        <v>7</v>
      </c>
      <c r="L908" s="78" t="s">
        <v>243</v>
      </c>
      <c r="M908" s="75" t="s">
        <v>1142</v>
      </c>
      <c r="N908" s="82">
        <v>687.12</v>
      </c>
    </row>
    <row r="909" spans="2:14" x14ac:dyDescent="0.25">
      <c r="B909" s="74" t="s">
        <v>1179</v>
      </c>
      <c r="C909" s="75">
        <v>49649001</v>
      </c>
      <c r="D909" s="75" t="s">
        <v>254</v>
      </c>
      <c r="E909" s="75">
        <v>44</v>
      </c>
      <c r="F909" s="75" t="s">
        <v>246</v>
      </c>
      <c r="G909" s="75" t="s">
        <v>258</v>
      </c>
      <c r="H909" s="75">
        <v>4</v>
      </c>
      <c r="I909" s="76">
        <v>2192</v>
      </c>
      <c r="J909" s="75" t="s">
        <v>242</v>
      </c>
      <c r="K909" s="77">
        <v>7</v>
      </c>
      <c r="L909" s="78" t="s">
        <v>215</v>
      </c>
      <c r="M909" s="75" t="s">
        <v>1142</v>
      </c>
      <c r="N909" s="82">
        <v>153.44</v>
      </c>
    </row>
    <row r="910" spans="2:14" x14ac:dyDescent="0.25">
      <c r="B910" s="74" t="s">
        <v>1180</v>
      </c>
      <c r="C910" s="75">
        <v>52327315</v>
      </c>
      <c r="D910" s="75" t="s">
        <v>239</v>
      </c>
      <c r="E910" s="75">
        <v>51</v>
      </c>
      <c r="F910" s="75" t="s">
        <v>246</v>
      </c>
      <c r="G910" s="75" t="s">
        <v>258</v>
      </c>
      <c r="H910" s="75">
        <v>3</v>
      </c>
      <c r="I910" s="76">
        <v>9520</v>
      </c>
      <c r="J910" s="75" t="s">
        <v>262</v>
      </c>
      <c r="K910" s="77">
        <v>7</v>
      </c>
      <c r="L910" s="78" t="s">
        <v>203</v>
      </c>
      <c r="M910" s="75" t="s">
        <v>1142</v>
      </c>
      <c r="N910" s="82">
        <v>666.4</v>
      </c>
    </row>
    <row r="911" spans="2:14" x14ac:dyDescent="0.25">
      <c r="B911" s="74" t="s">
        <v>1181</v>
      </c>
      <c r="C911" s="75">
        <v>59696769</v>
      </c>
      <c r="D911" s="75" t="s">
        <v>254</v>
      </c>
      <c r="E911" s="75">
        <v>53</v>
      </c>
      <c r="F911" s="75" t="s">
        <v>255</v>
      </c>
      <c r="G911" s="75" t="s">
        <v>247</v>
      </c>
      <c r="H911" s="75">
        <v>0</v>
      </c>
      <c r="I911" s="76">
        <v>4342</v>
      </c>
      <c r="J911" s="75" t="s">
        <v>262</v>
      </c>
      <c r="K911" s="77">
        <v>7</v>
      </c>
      <c r="L911" s="78" t="s">
        <v>203</v>
      </c>
      <c r="M911" s="75" t="s">
        <v>1142</v>
      </c>
      <c r="N911" s="82">
        <v>303.94</v>
      </c>
    </row>
    <row r="912" spans="2:14" x14ac:dyDescent="0.25">
      <c r="B912" s="74" t="s">
        <v>1182</v>
      </c>
      <c r="C912" s="75">
        <v>40321905</v>
      </c>
      <c r="D912" s="75" t="s">
        <v>239</v>
      </c>
      <c r="E912" s="75">
        <v>65</v>
      </c>
      <c r="F912" s="75" t="s">
        <v>246</v>
      </c>
      <c r="G912" s="75" t="s">
        <v>247</v>
      </c>
      <c r="H912" s="75">
        <v>1</v>
      </c>
      <c r="I912" s="76">
        <v>6612</v>
      </c>
      <c r="J912" s="75" t="s">
        <v>256</v>
      </c>
      <c r="K912" s="77">
        <v>7</v>
      </c>
      <c r="L912" s="78" t="s">
        <v>209</v>
      </c>
      <c r="M912" s="75" t="s">
        <v>1142</v>
      </c>
      <c r="N912" s="82">
        <v>462.84</v>
      </c>
    </row>
    <row r="913" spans="2:14" x14ac:dyDescent="0.25">
      <c r="B913" s="74" t="s">
        <v>1183</v>
      </c>
      <c r="C913" s="75">
        <v>45557394</v>
      </c>
      <c r="D913" s="75" t="s">
        <v>254</v>
      </c>
      <c r="E913" s="75">
        <v>65</v>
      </c>
      <c r="F913" s="75" t="s">
        <v>240</v>
      </c>
      <c r="G913" s="75" t="s">
        <v>258</v>
      </c>
      <c r="H913" s="75">
        <v>1</v>
      </c>
      <c r="I913" s="76">
        <v>9665</v>
      </c>
      <c r="J913" s="75" t="s">
        <v>242</v>
      </c>
      <c r="K913" s="77">
        <v>7</v>
      </c>
      <c r="L913" s="78" t="s">
        <v>210</v>
      </c>
      <c r="M913" s="75" t="s">
        <v>1142</v>
      </c>
      <c r="N913" s="82">
        <v>676.55</v>
      </c>
    </row>
    <row r="914" spans="2:14" x14ac:dyDescent="0.25">
      <c r="B914" s="74" t="s">
        <v>1184</v>
      </c>
      <c r="C914" s="75">
        <v>69914335</v>
      </c>
      <c r="D914" s="75" t="s">
        <v>254</v>
      </c>
      <c r="E914" s="75">
        <v>59</v>
      </c>
      <c r="F914" s="75" t="s">
        <v>246</v>
      </c>
      <c r="G914" s="75" t="s">
        <v>247</v>
      </c>
      <c r="H914" s="75">
        <v>1</v>
      </c>
      <c r="I914" s="76">
        <v>7054</v>
      </c>
      <c r="J914" s="75" t="s">
        <v>262</v>
      </c>
      <c r="K914" s="77">
        <v>7</v>
      </c>
      <c r="L914" s="78" t="s">
        <v>213</v>
      </c>
      <c r="M914" s="75" t="s">
        <v>1142</v>
      </c>
      <c r="N914" s="82">
        <v>493.78</v>
      </c>
    </row>
    <row r="915" spans="2:14" x14ac:dyDescent="0.25">
      <c r="B915" s="74" t="s">
        <v>1185</v>
      </c>
      <c r="C915" s="75">
        <v>67441788</v>
      </c>
      <c r="D915" s="75" t="s">
        <v>239</v>
      </c>
      <c r="E915" s="75">
        <v>50</v>
      </c>
      <c r="F915" s="75" t="s">
        <v>240</v>
      </c>
      <c r="G915" s="75" t="s">
        <v>247</v>
      </c>
      <c r="H915" s="75">
        <v>1</v>
      </c>
      <c r="I915" s="76">
        <v>7246</v>
      </c>
      <c r="J915" s="75" t="s">
        <v>248</v>
      </c>
      <c r="K915" s="77">
        <v>7</v>
      </c>
      <c r="L915" s="78" t="s">
        <v>213</v>
      </c>
      <c r="M915" s="75" t="s">
        <v>1142</v>
      </c>
      <c r="N915" s="82">
        <v>507.22</v>
      </c>
    </row>
    <row r="916" spans="2:14" x14ac:dyDescent="0.25">
      <c r="B916" s="74" t="s">
        <v>1186</v>
      </c>
      <c r="C916" s="75">
        <v>43952883</v>
      </c>
      <c r="D916" s="75" t="s">
        <v>239</v>
      </c>
      <c r="E916" s="75">
        <v>48</v>
      </c>
      <c r="F916" s="75" t="s">
        <v>251</v>
      </c>
      <c r="G916" s="75" t="s">
        <v>241</v>
      </c>
      <c r="H916" s="75">
        <v>3</v>
      </c>
      <c r="I916" s="76">
        <v>6515</v>
      </c>
      <c r="J916" s="75" t="s">
        <v>256</v>
      </c>
      <c r="K916" s="77">
        <v>6</v>
      </c>
      <c r="L916" s="78" t="s">
        <v>279</v>
      </c>
      <c r="M916" s="75" t="s">
        <v>1142</v>
      </c>
      <c r="N916" s="82">
        <v>390.9</v>
      </c>
    </row>
    <row r="917" spans="2:14" x14ac:dyDescent="0.25">
      <c r="B917" s="74" t="s">
        <v>1187</v>
      </c>
      <c r="C917" s="75">
        <v>64185001</v>
      </c>
      <c r="D917" s="75" t="s">
        <v>254</v>
      </c>
      <c r="E917" s="75">
        <v>46</v>
      </c>
      <c r="F917" s="75" t="s">
        <v>240</v>
      </c>
      <c r="G917" s="75" t="s">
        <v>247</v>
      </c>
      <c r="H917" s="75">
        <v>4</v>
      </c>
      <c r="I917" s="76">
        <v>5909</v>
      </c>
      <c r="J917" s="75" t="s">
        <v>262</v>
      </c>
      <c r="K917" s="77">
        <v>6</v>
      </c>
      <c r="L917" s="78" t="s">
        <v>279</v>
      </c>
      <c r="M917" s="75" t="s">
        <v>1142</v>
      </c>
      <c r="N917" s="82">
        <v>354.54</v>
      </c>
    </row>
    <row r="918" spans="2:14" x14ac:dyDescent="0.25">
      <c r="B918" s="74" t="s">
        <v>1188</v>
      </c>
      <c r="C918" s="75">
        <v>66482370</v>
      </c>
      <c r="D918" s="75" t="s">
        <v>239</v>
      </c>
      <c r="E918" s="75">
        <v>33</v>
      </c>
      <c r="F918" s="75" t="s">
        <v>255</v>
      </c>
      <c r="G918" s="75" t="s">
        <v>247</v>
      </c>
      <c r="H918" s="75">
        <v>4</v>
      </c>
      <c r="I918" s="76">
        <v>7059</v>
      </c>
      <c r="J918" s="75" t="s">
        <v>269</v>
      </c>
      <c r="K918" s="77">
        <v>6</v>
      </c>
      <c r="L918" s="78" t="s">
        <v>203</v>
      </c>
      <c r="M918" s="75" t="s">
        <v>1142</v>
      </c>
      <c r="N918" s="82">
        <v>423.54</v>
      </c>
    </row>
    <row r="919" spans="2:14" x14ac:dyDescent="0.25">
      <c r="B919" s="74" t="s">
        <v>1189</v>
      </c>
      <c r="C919" s="75">
        <v>66320873</v>
      </c>
      <c r="D919" s="75" t="s">
        <v>239</v>
      </c>
      <c r="E919" s="75">
        <v>47</v>
      </c>
      <c r="F919" s="75" t="s">
        <v>255</v>
      </c>
      <c r="G919" s="75" t="s">
        <v>252</v>
      </c>
      <c r="H919" s="75">
        <v>1</v>
      </c>
      <c r="I919" s="76">
        <v>9357</v>
      </c>
      <c r="J919" s="75" t="s">
        <v>262</v>
      </c>
      <c r="K919" s="77">
        <v>6</v>
      </c>
      <c r="L919" s="78" t="s">
        <v>213</v>
      </c>
      <c r="M919" s="75" t="s">
        <v>1142</v>
      </c>
      <c r="N919" s="82">
        <v>561.41999999999996</v>
      </c>
    </row>
    <row r="920" spans="2:14" x14ac:dyDescent="0.25">
      <c r="B920" s="74" t="s">
        <v>1190</v>
      </c>
      <c r="C920" s="75">
        <v>33884192</v>
      </c>
      <c r="D920" s="75" t="s">
        <v>239</v>
      </c>
      <c r="E920" s="75">
        <v>26</v>
      </c>
      <c r="F920" s="75" t="s">
        <v>246</v>
      </c>
      <c r="G920" s="75" t="s">
        <v>247</v>
      </c>
      <c r="H920" s="75">
        <v>2</v>
      </c>
      <c r="I920" s="76">
        <v>2263</v>
      </c>
      <c r="J920" s="75" t="s">
        <v>269</v>
      </c>
      <c r="K920" s="77">
        <v>6</v>
      </c>
      <c r="L920" s="78" t="s">
        <v>203</v>
      </c>
      <c r="M920" s="75" t="s">
        <v>1142</v>
      </c>
      <c r="N920" s="82">
        <v>135.78</v>
      </c>
    </row>
    <row r="921" spans="2:14" x14ac:dyDescent="0.25">
      <c r="B921" s="74" t="s">
        <v>1191</v>
      </c>
      <c r="C921" s="75">
        <v>29949723</v>
      </c>
      <c r="D921" s="75" t="s">
        <v>254</v>
      </c>
      <c r="E921" s="75">
        <v>63</v>
      </c>
      <c r="F921" s="75" t="s">
        <v>240</v>
      </c>
      <c r="G921" s="75" t="s">
        <v>252</v>
      </c>
      <c r="H921" s="75">
        <v>2</v>
      </c>
      <c r="I921" s="76">
        <v>4910</v>
      </c>
      <c r="J921" s="75" t="s">
        <v>262</v>
      </c>
      <c r="K921" s="77">
        <v>6</v>
      </c>
      <c r="L921" s="78" t="s">
        <v>279</v>
      </c>
      <c r="M921" s="75" t="s">
        <v>1142</v>
      </c>
      <c r="N921" s="82">
        <v>294.60000000000002</v>
      </c>
    </row>
    <row r="922" spans="2:14" x14ac:dyDescent="0.25">
      <c r="B922" s="74" t="s">
        <v>1192</v>
      </c>
      <c r="C922" s="75">
        <v>51130196</v>
      </c>
      <c r="D922" s="75" t="s">
        <v>239</v>
      </c>
      <c r="E922" s="75">
        <v>36</v>
      </c>
      <c r="F922" s="75" t="s">
        <v>246</v>
      </c>
      <c r="G922" s="75" t="s">
        <v>241</v>
      </c>
      <c r="H922" s="75">
        <v>2</v>
      </c>
      <c r="I922" s="76">
        <v>3165</v>
      </c>
      <c r="J922" s="75" t="s">
        <v>256</v>
      </c>
      <c r="K922" s="77">
        <v>6</v>
      </c>
      <c r="L922" s="78" t="s">
        <v>263</v>
      </c>
      <c r="M922" s="75" t="s">
        <v>1142</v>
      </c>
      <c r="N922" s="82">
        <v>189.9</v>
      </c>
    </row>
    <row r="923" spans="2:14" x14ac:dyDescent="0.25">
      <c r="B923" s="74" t="s">
        <v>1193</v>
      </c>
      <c r="C923" s="75">
        <v>56263037</v>
      </c>
      <c r="D923" s="75" t="s">
        <v>239</v>
      </c>
      <c r="E923" s="75">
        <v>53</v>
      </c>
      <c r="F923" s="75" t="s">
        <v>246</v>
      </c>
      <c r="G923" s="75" t="s">
        <v>252</v>
      </c>
      <c r="H923" s="75">
        <v>4</v>
      </c>
      <c r="I923" s="76">
        <v>6032</v>
      </c>
      <c r="J923" s="75" t="s">
        <v>256</v>
      </c>
      <c r="K923" s="77">
        <v>6</v>
      </c>
      <c r="L923" s="78" t="s">
        <v>243</v>
      </c>
      <c r="M923" s="75" t="s">
        <v>1142</v>
      </c>
      <c r="N923" s="82">
        <v>361.92</v>
      </c>
    </row>
    <row r="924" spans="2:14" x14ac:dyDescent="0.25">
      <c r="B924" s="74" t="s">
        <v>1194</v>
      </c>
      <c r="C924" s="75">
        <v>23920880</v>
      </c>
      <c r="D924" s="75" t="s">
        <v>254</v>
      </c>
      <c r="E924" s="75">
        <v>52</v>
      </c>
      <c r="F924" s="75" t="s">
        <v>240</v>
      </c>
      <c r="G924" s="75" t="s">
        <v>247</v>
      </c>
      <c r="H924" s="75">
        <v>0</v>
      </c>
      <c r="I924" s="76">
        <v>6076</v>
      </c>
      <c r="J924" s="75" t="s">
        <v>248</v>
      </c>
      <c r="K924" s="77">
        <v>6</v>
      </c>
      <c r="L924" s="78" t="s">
        <v>193</v>
      </c>
      <c r="M924" s="75" t="s">
        <v>1142</v>
      </c>
      <c r="N924" s="82">
        <v>364.56</v>
      </c>
    </row>
    <row r="925" spans="2:14" x14ac:dyDescent="0.25">
      <c r="B925" s="74" t="s">
        <v>1195</v>
      </c>
      <c r="C925" s="75">
        <v>25052351</v>
      </c>
      <c r="D925" s="75" t="s">
        <v>239</v>
      </c>
      <c r="E925" s="75">
        <v>41</v>
      </c>
      <c r="F925" s="75" t="s">
        <v>251</v>
      </c>
      <c r="G925" s="75" t="s">
        <v>258</v>
      </c>
      <c r="H925" s="75">
        <v>2</v>
      </c>
      <c r="I925" s="76">
        <v>8998</v>
      </c>
      <c r="J925" s="75" t="s">
        <v>242</v>
      </c>
      <c r="K925" s="77">
        <v>6</v>
      </c>
      <c r="L925" s="78" t="s">
        <v>271</v>
      </c>
      <c r="M925" s="75" t="s">
        <v>1142</v>
      </c>
      <c r="N925" s="82">
        <v>539.88</v>
      </c>
    </row>
    <row r="926" spans="2:14" x14ac:dyDescent="0.25">
      <c r="B926" s="74" t="s">
        <v>1196</v>
      </c>
      <c r="C926" s="75">
        <v>23638494</v>
      </c>
      <c r="D926" s="75" t="s">
        <v>239</v>
      </c>
      <c r="E926" s="75">
        <v>27</v>
      </c>
      <c r="F926" s="75" t="s">
        <v>246</v>
      </c>
      <c r="G926" s="75" t="s">
        <v>252</v>
      </c>
      <c r="H926" s="75">
        <v>1</v>
      </c>
      <c r="I926" s="76">
        <v>3583</v>
      </c>
      <c r="J926" s="75" t="s">
        <v>248</v>
      </c>
      <c r="K926" s="77">
        <v>6</v>
      </c>
      <c r="L926" s="78" t="s">
        <v>203</v>
      </c>
      <c r="M926" s="75" t="s">
        <v>1142</v>
      </c>
      <c r="N926" s="82">
        <v>214.98</v>
      </c>
    </row>
    <row r="927" spans="2:14" x14ac:dyDescent="0.25">
      <c r="B927" s="74" t="s">
        <v>1197</v>
      </c>
      <c r="C927" s="75">
        <v>67153923</v>
      </c>
      <c r="D927" s="75" t="s">
        <v>239</v>
      </c>
      <c r="E927" s="75">
        <v>40</v>
      </c>
      <c r="F927" s="75" t="s">
        <v>246</v>
      </c>
      <c r="G927" s="75" t="s">
        <v>252</v>
      </c>
      <c r="H927" s="75">
        <v>0</v>
      </c>
      <c r="I927" s="76">
        <v>9888</v>
      </c>
      <c r="J927" s="75" t="s">
        <v>248</v>
      </c>
      <c r="K927" s="77">
        <v>6</v>
      </c>
      <c r="L927" s="78" t="s">
        <v>215</v>
      </c>
      <c r="M927" s="75" t="s">
        <v>1142</v>
      </c>
      <c r="N927" s="82">
        <v>593.28</v>
      </c>
    </row>
    <row r="928" spans="2:14" x14ac:dyDescent="0.25">
      <c r="B928" s="74" t="s">
        <v>1198</v>
      </c>
      <c r="C928" s="75">
        <v>58361642</v>
      </c>
      <c r="D928" s="75" t="s">
        <v>239</v>
      </c>
      <c r="E928" s="75">
        <v>57</v>
      </c>
      <c r="F928" s="75" t="s">
        <v>240</v>
      </c>
      <c r="G928" s="75" t="s">
        <v>241</v>
      </c>
      <c r="H928" s="75">
        <v>2</v>
      </c>
      <c r="I928" s="76">
        <v>9768</v>
      </c>
      <c r="J928" s="75" t="s">
        <v>256</v>
      </c>
      <c r="K928" s="77">
        <v>6</v>
      </c>
      <c r="L928" s="78" t="s">
        <v>215</v>
      </c>
      <c r="M928" s="75" t="s">
        <v>1142</v>
      </c>
      <c r="N928" s="82">
        <v>586.08000000000004</v>
      </c>
    </row>
    <row r="929" spans="2:14" x14ac:dyDescent="0.25">
      <c r="B929" s="74" t="s">
        <v>1199</v>
      </c>
      <c r="C929" s="75">
        <v>55256600</v>
      </c>
      <c r="D929" s="75" t="s">
        <v>254</v>
      </c>
      <c r="E929" s="75">
        <v>23</v>
      </c>
      <c r="F929" s="75" t="s">
        <v>246</v>
      </c>
      <c r="G929" s="75" t="s">
        <v>241</v>
      </c>
      <c r="H929" s="75">
        <v>2</v>
      </c>
      <c r="I929" s="76">
        <v>2872</v>
      </c>
      <c r="J929" s="75" t="s">
        <v>262</v>
      </c>
      <c r="K929" s="77">
        <v>6</v>
      </c>
      <c r="L929" s="78" t="s">
        <v>203</v>
      </c>
      <c r="M929" s="75" t="s">
        <v>1142</v>
      </c>
      <c r="N929" s="82">
        <v>172.32</v>
      </c>
    </row>
    <row r="930" spans="2:14" x14ac:dyDescent="0.25">
      <c r="B930" s="74" t="s">
        <v>1200</v>
      </c>
      <c r="C930" s="75">
        <v>24430448</v>
      </c>
      <c r="D930" s="75" t="s">
        <v>254</v>
      </c>
      <c r="E930" s="75">
        <v>29</v>
      </c>
      <c r="F930" s="75" t="s">
        <v>246</v>
      </c>
      <c r="G930" s="75" t="s">
        <v>247</v>
      </c>
      <c r="H930" s="75">
        <v>2</v>
      </c>
      <c r="I930" s="76">
        <v>8319</v>
      </c>
      <c r="J930" s="75" t="s">
        <v>242</v>
      </c>
      <c r="K930" s="77">
        <v>5</v>
      </c>
      <c r="L930" s="78" t="s">
        <v>263</v>
      </c>
      <c r="M930" s="75" t="s">
        <v>1142</v>
      </c>
      <c r="N930" s="82">
        <v>415.95</v>
      </c>
    </row>
    <row r="931" spans="2:14" x14ac:dyDescent="0.25">
      <c r="B931" s="74" t="s">
        <v>1201</v>
      </c>
      <c r="C931" s="75">
        <v>69705507</v>
      </c>
      <c r="D931" s="75" t="s">
        <v>239</v>
      </c>
      <c r="E931" s="75">
        <v>50</v>
      </c>
      <c r="F931" s="75" t="s">
        <v>251</v>
      </c>
      <c r="G931" s="75" t="s">
        <v>241</v>
      </c>
      <c r="H931" s="75">
        <v>1</v>
      </c>
      <c r="I931" s="76">
        <v>9903</v>
      </c>
      <c r="J931" s="75" t="s">
        <v>248</v>
      </c>
      <c r="K931" s="77">
        <v>5</v>
      </c>
      <c r="L931" s="78" t="s">
        <v>213</v>
      </c>
      <c r="M931" s="75" t="s">
        <v>1142</v>
      </c>
      <c r="N931" s="82">
        <v>495.15</v>
      </c>
    </row>
    <row r="932" spans="2:14" x14ac:dyDescent="0.25">
      <c r="B932" s="74" t="s">
        <v>1202</v>
      </c>
      <c r="C932" s="75">
        <v>40086713</v>
      </c>
      <c r="D932" s="75" t="s">
        <v>239</v>
      </c>
      <c r="E932" s="75">
        <v>64</v>
      </c>
      <c r="F932" s="75" t="s">
        <v>255</v>
      </c>
      <c r="G932" s="75" t="s">
        <v>241</v>
      </c>
      <c r="H932" s="75">
        <v>4</v>
      </c>
      <c r="I932" s="76">
        <v>3725</v>
      </c>
      <c r="J932" s="75" t="s">
        <v>256</v>
      </c>
      <c r="K932" s="77">
        <v>5</v>
      </c>
      <c r="L932" s="78" t="s">
        <v>243</v>
      </c>
      <c r="M932" s="75" t="s">
        <v>1142</v>
      </c>
      <c r="N932" s="82">
        <v>186.25</v>
      </c>
    </row>
    <row r="933" spans="2:14" x14ac:dyDescent="0.25">
      <c r="B933" s="74" t="s">
        <v>1203</v>
      </c>
      <c r="C933" s="75">
        <v>50040549</v>
      </c>
      <c r="D933" s="75" t="s">
        <v>254</v>
      </c>
      <c r="E933" s="75">
        <v>48</v>
      </c>
      <c r="F933" s="75" t="s">
        <v>251</v>
      </c>
      <c r="G933" s="75" t="s">
        <v>252</v>
      </c>
      <c r="H933" s="75">
        <v>4</v>
      </c>
      <c r="I933" s="76">
        <v>6216</v>
      </c>
      <c r="J933" s="75" t="s">
        <v>269</v>
      </c>
      <c r="K933" s="77">
        <v>5</v>
      </c>
      <c r="L933" s="78" t="s">
        <v>209</v>
      </c>
      <c r="M933" s="75" t="s">
        <v>1142</v>
      </c>
      <c r="N933" s="82">
        <v>310.8</v>
      </c>
    </row>
    <row r="934" spans="2:14" x14ac:dyDescent="0.25">
      <c r="B934" s="74" t="s">
        <v>1204</v>
      </c>
      <c r="C934" s="75">
        <v>37488001</v>
      </c>
      <c r="D934" s="75" t="s">
        <v>254</v>
      </c>
      <c r="E934" s="75">
        <v>40</v>
      </c>
      <c r="F934" s="75" t="s">
        <v>251</v>
      </c>
      <c r="G934" s="75" t="s">
        <v>258</v>
      </c>
      <c r="H934" s="75">
        <v>2</v>
      </c>
      <c r="I934" s="76">
        <v>6901</v>
      </c>
      <c r="J934" s="75" t="s">
        <v>256</v>
      </c>
      <c r="K934" s="77">
        <v>5</v>
      </c>
      <c r="L934" s="78" t="s">
        <v>203</v>
      </c>
      <c r="M934" s="75" t="s">
        <v>1142</v>
      </c>
      <c r="N934" s="82">
        <v>345.05</v>
      </c>
    </row>
    <row r="935" spans="2:14" x14ac:dyDescent="0.25">
      <c r="B935" s="74" t="s">
        <v>1205</v>
      </c>
      <c r="C935" s="75">
        <v>68579559</v>
      </c>
      <c r="D935" s="75" t="s">
        <v>254</v>
      </c>
      <c r="E935" s="75">
        <v>60</v>
      </c>
      <c r="F935" s="75" t="s">
        <v>240</v>
      </c>
      <c r="G935" s="75" t="s">
        <v>247</v>
      </c>
      <c r="H935" s="75">
        <v>2</v>
      </c>
      <c r="I935" s="76">
        <v>9898</v>
      </c>
      <c r="J935" s="75" t="s">
        <v>248</v>
      </c>
      <c r="K935" s="77">
        <v>5</v>
      </c>
      <c r="L935" s="78" t="s">
        <v>203</v>
      </c>
      <c r="M935" s="75" t="s">
        <v>1142</v>
      </c>
      <c r="N935" s="82">
        <v>494.9</v>
      </c>
    </row>
    <row r="936" spans="2:14" x14ac:dyDescent="0.25">
      <c r="B936" s="74" t="s">
        <v>1206</v>
      </c>
      <c r="C936" s="75">
        <v>40354413</v>
      </c>
      <c r="D936" s="75" t="s">
        <v>254</v>
      </c>
      <c r="E936" s="75">
        <v>53</v>
      </c>
      <c r="F936" s="75" t="s">
        <v>255</v>
      </c>
      <c r="G936" s="75" t="s">
        <v>258</v>
      </c>
      <c r="H936" s="75">
        <v>2</v>
      </c>
      <c r="I936" s="76">
        <v>5885</v>
      </c>
      <c r="J936" s="75" t="s">
        <v>248</v>
      </c>
      <c r="K936" s="77">
        <v>5</v>
      </c>
      <c r="L936" s="78" t="s">
        <v>243</v>
      </c>
      <c r="M936" s="75" t="s">
        <v>1142</v>
      </c>
      <c r="N936" s="82">
        <v>294.25</v>
      </c>
    </row>
    <row r="937" spans="2:14" x14ac:dyDescent="0.25">
      <c r="B937" s="74" t="s">
        <v>1207</v>
      </c>
      <c r="C937" s="75">
        <v>65568431</v>
      </c>
      <c r="D937" s="75" t="s">
        <v>254</v>
      </c>
      <c r="E937" s="75">
        <v>60</v>
      </c>
      <c r="F937" s="75" t="s">
        <v>240</v>
      </c>
      <c r="G937" s="75" t="s">
        <v>258</v>
      </c>
      <c r="H937" s="75">
        <v>2</v>
      </c>
      <c r="I937" s="76">
        <v>4481</v>
      </c>
      <c r="J937" s="75" t="s">
        <v>248</v>
      </c>
      <c r="K937" s="77">
        <v>5</v>
      </c>
      <c r="L937" s="78" t="s">
        <v>210</v>
      </c>
      <c r="M937" s="75" t="s">
        <v>1142</v>
      </c>
      <c r="N937" s="82">
        <v>224.05</v>
      </c>
    </row>
    <row r="938" spans="2:14" x14ac:dyDescent="0.25">
      <c r="B938" s="74" t="s">
        <v>1208</v>
      </c>
      <c r="C938" s="75">
        <v>47311657</v>
      </c>
      <c r="D938" s="75" t="s">
        <v>239</v>
      </c>
      <c r="E938" s="75">
        <v>36</v>
      </c>
      <c r="F938" s="75" t="s">
        <v>255</v>
      </c>
      <c r="G938" s="75" t="s">
        <v>247</v>
      </c>
      <c r="H938" s="75">
        <v>4</v>
      </c>
      <c r="I938" s="76">
        <v>7269</v>
      </c>
      <c r="J938" s="75" t="s">
        <v>269</v>
      </c>
      <c r="K938" s="77">
        <v>5</v>
      </c>
      <c r="L938" s="78" t="s">
        <v>215</v>
      </c>
      <c r="M938" s="75" t="s">
        <v>1142</v>
      </c>
      <c r="N938" s="82">
        <v>363.45</v>
      </c>
    </row>
    <row r="939" spans="2:14" x14ac:dyDescent="0.25">
      <c r="B939" s="74" t="s">
        <v>1209</v>
      </c>
      <c r="C939" s="75">
        <v>30654999</v>
      </c>
      <c r="D939" s="75" t="s">
        <v>254</v>
      </c>
      <c r="E939" s="75">
        <v>18</v>
      </c>
      <c r="F939" s="75" t="s">
        <v>255</v>
      </c>
      <c r="G939" s="75" t="s">
        <v>258</v>
      </c>
      <c r="H939" s="75">
        <v>2</v>
      </c>
      <c r="I939" s="76">
        <v>8027</v>
      </c>
      <c r="J939" s="75" t="s">
        <v>269</v>
      </c>
      <c r="K939" s="77">
        <v>5</v>
      </c>
      <c r="L939" s="78" t="s">
        <v>215</v>
      </c>
      <c r="M939" s="75" t="s">
        <v>1142</v>
      </c>
      <c r="N939" s="82">
        <v>401.35</v>
      </c>
    </row>
    <row r="940" spans="2:14" x14ac:dyDescent="0.25">
      <c r="B940" s="74" t="s">
        <v>1210</v>
      </c>
      <c r="C940" s="75">
        <v>32130290</v>
      </c>
      <c r="D940" s="75" t="s">
        <v>239</v>
      </c>
      <c r="E940" s="75">
        <v>23</v>
      </c>
      <c r="F940" s="75" t="s">
        <v>240</v>
      </c>
      <c r="G940" s="75" t="s">
        <v>247</v>
      </c>
      <c r="H940" s="75">
        <v>1</v>
      </c>
      <c r="I940" s="76">
        <v>9187</v>
      </c>
      <c r="J940" s="75" t="s">
        <v>248</v>
      </c>
      <c r="K940" s="77">
        <v>5</v>
      </c>
      <c r="L940" s="78" t="s">
        <v>271</v>
      </c>
      <c r="M940" s="75" t="s">
        <v>1142</v>
      </c>
      <c r="N940" s="82">
        <v>459.35</v>
      </c>
    </row>
    <row r="941" spans="2:14" x14ac:dyDescent="0.25">
      <c r="B941" s="74" t="s">
        <v>1211</v>
      </c>
      <c r="C941" s="75">
        <v>58298361</v>
      </c>
      <c r="D941" s="75" t="s">
        <v>239</v>
      </c>
      <c r="E941" s="75">
        <v>49</v>
      </c>
      <c r="F941" s="75" t="s">
        <v>255</v>
      </c>
      <c r="G941" s="75" t="s">
        <v>252</v>
      </c>
      <c r="H941" s="75">
        <v>3</v>
      </c>
      <c r="I941" s="76">
        <v>4733</v>
      </c>
      <c r="J941" s="75" t="s">
        <v>269</v>
      </c>
      <c r="K941" s="77">
        <v>5</v>
      </c>
      <c r="L941" s="78" t="s">
        <v>214</v>
      </c>
      <c r="M941" s="75" t="s">
        <v>1142</v>
      </c>
      <c r="N941" s="82">
        <v>236.65</v>
      </c>
    </row>
    <row r="942" spans="2:14" x14ac:dyDescent="0.25">
      <c r="B942" s="74" t="s">
        <v>1212</v>
      </c>
      <c r="C942" s="75">
        <v>64064353</v>
      </c>
      <c r="D942" s="75" t="s">
        <v>254</v>
      </c>
      <c r="E942" s="75">
        <v>33</v>
      </c>
      <c r="F942" s="75" t="s">
        <v>246</v>
      </c>
      <c r="G942" s="75" t="s">
        <v>247</v>
      </c>
      <c r="H942" s="75">
        <v>4</v>
      </c>
      <c r="I942" s="76">
        <v>7046</v>
      </c>
      <c r="J942" s="75" t="s">
        <v>248</v>
      </c>
      <c r="K942" s="77">
        <v>4</v>
      </c>
      <c r="L942" s="78" t="s">
        <v>271</v>
      </c>
      <c r="M942" s="75" t="s">
        <v>1142</v>
      </c>
      <c r="N942" s="82">
        <v>281.83999999999997</v>
      </c>
    </row>
    <row r="943" spans="2:14" x14ac:dyDescent="0.25">
      <c r="B943" s="74" t="s">
        <v>1213</v>
      </c>
      <c r="C943" s="75">
        <v>70296353</v>
      </c>
      <c r="D943" s="75" t="s">
        <v>239</v>
      </c>
      <c r="E943" s="75">
        <v>56</v>
      </c>
      <c r="F943" s="75" t="s">
        <v>255</v>
      </c>
      <c r="G943" s="75" t="s">
        <v>247</v>
      </c>
      <c r="H943" s="75">
        <v>2</v>
      </c>
      <c r="I943" s="76">
        <v>8448</v>
      </c>
      <c r="J943" s="75" t="s">
        <v>242</v>
      </c>
      <c r="K943" s="77">
        <v>4</v>
      </c>
      <c r="L943" s="78" t="s">
        <v>210</v>
      </c>
      <c r="M943" s="75" t="s">
        <v>1142</v>
      </c>
      <c r="N943" s="82">
        <v>337.92</v>
      </c>
    </row>
    <row r="944" spans="2:14" x14ac:dyDescent="0.25">
      <c r="B944" s="74" t="s">
        <v>1214</v>
      </c>
      <c r="C944" s="75">
        <v>29922367</v>
      </c>
      <c r="D944" s="75" t="s">
        <v>239</v>
      </c>
      <c r="E944" s="75">
        <v>31</v>
      </c>
      <c r="F944" s="75" t="s">
        <v>255</v>
      </c>
      <c r="G944" s="75" t="s">
        <v>247</v>
      </c>
      <c r="H944" s="75">
        <v>1</v>
      </c>
      <c r="I944" s="76">
        <v>5874</v>
      </c>
      <c r="J944" s="75" t="s">
        <v>269</v>
      </c>
      <c r="K944" s="77">
        <v>4</v>
      </c>
      <c r="L944" s="78" t="s">
        <v>279</v>
      </c>
      <c r="M944" s="75" t="s">
        <v>1142</v>
      </c>
      <c r="N944" s="82">
        <v>234.96</v>
      </c>
    </row>
    <row r="945" spans="2:14" x14ac:dyDescent="0.25">
      <c r="B945" s="74" t="s">
        <v>1215</v>
      </c>
      <c r="C945" s="75">
        <v>58942058</v>
      </c>
      <c r="D945" s="75" t="s">
        <v>239</v>
      </c>
      <c r="E945" s="75">
        <v>36</v>
      </c>
      <c r="F945" s="75" t="s">
        <v>240</v>
      </c>
      <c r="G945" s="75" t="s">
        <v>252</v>
      </c>
      <c r="H945" s="75">
        <v>2</v>
      </c>
      <c r="I945" s="76">
        <v>9021</v>
      </c>
      <c r="J945" s="75" t="s">
        <v>256</v>
      </c>
      <c r="K945" s="77">
        <v>4</v>
      </c>
      <c r="L945" s="78" t="s">
        <v>279</v>
      </c>
      <c r="M945" s="75" t="s">
        <v>1142</v>
      </c>
      <c r="N945" s="82">
        <v>360.84</v>
      </c>
    </row>
    <row r="946" spans="2:14" x14ac:dyDescent="0.25">
      <c r="B946" s="74" t="s">
        <v>1216</v>
      </c>
      <c r="C946" s="75">
        <v>55581207</v>
      </c>
      <c r="D946" s="75" t="s">
        <v>239</v>
      </c>
      <c r="E946" s="75">
        <v>50</v>
      </c>
      <c r="F946" s="75" t="s">
        <v>255</v>
      </c>
      <c r="G946" s="75" t="s">
        <v>241</v>
      </c>
      <c r="H946" s="75">
        <v>1</v>
      </c>
      <c r="I946" s="76">
        <v>9867</v>
      </c>
      <c r="J946" s="75" t="s">
        <v>269</v>
      </c>
      <c r="K946" s="77">
        <v>4</v>
      </c>
      <c r="L946" s="78" t="s">
        <v>193</v>
      </c>
      <c r="M946" s="75" t="s">
        <v>1142</v>
      </c>
      <c r="N946" s="82">
        <v>394.68</v>
      </c>
    </row>
    <row r="947" spans="2:14" x14ac:dyDescent="0.25">
      <c r="B947" s="74" t="s">
        <v>1217</v>
      </c>
      <c r="C947" s="75">
        <v>23329969</v>
      </c>
      <c r="D947" s="75" t="s">
        <v>239</v>
      </c>
      <c r="E947" s="75">
        <v>44</v>
      </c>
      <c r="F947" s="75" t="s">
        <v>251</v>
      </c>
      <c r="G947" s="75" t="s">
        <v>247</v>
      </c>
      <c r="H947" s="75">
        <v>1</v>
      </c>
      <c r="I947" s="76">
        <v>9834</v>
      </c>
      <c r="J947" s="75" t="s">
        <v>248</v>
      </c>
      <c r="K947" s="77">
        <v>4</v>
      </c>
      <c r="L947" s="78" t="s">
        <v>193</v>
      </c>
      <c r="M947" s="75" t="s">
        <v>1142</v>
      </c>
      <c r="N947" s="82">
        <v>393.36</v>
      </c>
    </row>
    <row r="948" spans="2:14" x14ac:dyDescent="0.25">
      <c r="B948" s="74" t="s">
        <v>1218</v>
      </c>
      <c r="C948" s="75">
        <v>43914135</v>
      </c>
      <c r="D948" s="75" t="s">
        <v>239</v>
      </c>
      <c r="E948" s="75">
        <v>20</v>
      </c>
      <c r="F948" s="75" t="s">
        <v>251</v>
      </c>
      <c r="G948" s="75" t="s">
        <v>241</v>
      </c>
      <c r="H948" s="75">
        <v>1</v>
      </c>
      <c r="I948" s="76">
        <v>4316</v>
      </c>
      <c r="J948" s="75" t="s">
        <v>242</v>
      </c>
      <c r="K948" s="77">
        <v>4</v>
      </c>
      <c r="L948" s="78" t="s">
        <v>193</v>
      </c>
      <c r="M948" s="75" t="s">
        <v>1142</v>
      </c>
      <c r="N948" s="82">
        <v>172.64</v>
      </c>
    </row>
    <row r="949" spans="2:14" x14ac:dyDescent="0.25">
      <c r="B949" s="74" t="s">
        <v>1219</v>
      </c>
      <c r="C949" s="75">
        <v>54538990</v>
      </c>
      <c r="D949" s="75" t="s">
        <v>254</v>
      </c>
      <c r="E949" s="75">
        <v>21</v>
      </c>
      <c r="F949" s="75" t="s">
        <v>246</v>
      </c>
      <c r="G949" s="75" t="s">
        <v>252</v>
      </c>
      <c r="H949" s="75">
        <v>2</v>
      </c>
      <c r="I949" s="76">
        <v>8013</v>
      </c>
      <c r="J949" s="75" t="s">
        <v>248</v>
      </c>
      <c r="K949" s="77">
        <v>4</v>
      </c>
      <c r="L949" s="78" t="s">
        <v>214</v>
      </c>
      <c r="M949" s="75" t="s">
        <v>1142</v>
      </c>
      <c r="N949" s="82">
        <v>320.52</v>
      </c>
    </row>
    <row r="950" spans="2:14" x14ac:dyDescent="0.25">
      <c r="B950" s="74" t="s">
        <v>1220</v>
      </c>
      <c r="C950" s="75">
        <v>60412713</v>
      </c>
      <c r="D950" s="75" t="s">
        <v>239</v>
      </c>
      <c r="E950" s="75">
        <v>45</v>
      </c>
      <c r="F950" s="75" t="s">
        <v>251</v>
      </c>
      <c r="G950" s="75" t="s">
        <v>247</v>
      </c>
      <c r="H950" s="75">
        <v>0</v>
      </c>
      <c r="I950" s="76">
        <v>4114</v>
      </c>
      <c r="J950" s="75" t="s">
        <v>242</v>
      </c>
      <c r="K950" s="77">
        <v>4</v>
      </c>
      <c r="L950" s="78" t="s">
        <v>210</v>
      </c>
      <c r="M950" s="75" t="s">
        <v>1142</v>
      </c>
      <c r="N950" s="82">
        <v>164.56</v>
      </c>
    </row>
    <row r="951" spans="2:14" x14ac:dyDescent="0.25">
      <c r="B951" s="74" t="s">
        <v>1221</v>
      </c>
      <c r="C951" s="75">
        <v>53568512</v>
      </c>
      <c r="D951" s="75" t="s">
        <v>239</v>
      </c>
      <c r="E951" s="75">
        <v>41</v>
      </c>
      <c r="F951" s="75" t="s">
        <v>246</v>
      </c>
      <c r="G951" s="75" t="s">
        <v>252</v>
      </c>
      <c r="H951" s="75">
        <v>2</v>
      </c>
      <c r="I951" s="76">
        <v>8537</v>
      </c>
      <c r="J951" s="75" t="s">
        <v>248</v>
      </c>
      <c r="K951" s="77">
        <v>3</v>
      </c>
      <c r="L951" s="78" t="s">
        <v>203</v>
      </c>
      <c r="M951" s="75" t="s">
        <v>1142</v>
      </c>
      <c r="N951" s="82">
        <v>256.11</v>
      </c>
    </row>
    <row r="952" spans="2:14" x14ac:dyDescent="0.25">
      <c r="B952" s="74" t="s">
        <v>1222</v>
      </c>
      <c r="C952" s="75">
        <v>50822288</v>
      </c>
      <c r="D952" s="75" t="s">
        <v>254</v>
      </c>
      <c r="E952" s="75">
        <v>50</v>
      </c>
      <c r="F952" s="75" t="s">
        <v>240</v>
      </c>
      <c r="G952" s="75" t="s">
        <v>258</v>
      </c>
      <c r="H952" s="75">
        <v>4</v>
      </c>
      <c r="I952" s="76">
        <v>7121</v>
      </c>
      <c r="J952" s="75" t="s">
        <v>248</v>
      </c>
      <c r="K952" s="77">
        <v>3</v>
      </c>
      <c r="L952" s="78" t="s">
        <v>212</v>
      </c>
      <c r="M952" s="75" t="s">
        <v>1142</v>
      </c>
      <c r="N952" s="82">
        <v>213.63</v>
      </c>
    </row>
    <row r="953" spans="2:14" x14ac:dyDescent="0.25">
      <c r="B953" s="74" t="s">
        <v>1223</v>
      </c>
      <c r="C953" s="75">
        <v>55544118</v>
      </c>
      <c r="D953" s="75" t="s">
        <v>239</v>
      </c>
      <c r="E953" s="75">
        <v>40</v>
      </c>
      <c r="F953" s="75" t="s">
        <v>255</v>
      </c>
      <c r="G953" s="75" t="s">
        <v>258</v>
      </c>
      <c r="H953" s="75">
        <v>2</v>
      </c>
      <c r="I953" s="76">
        <v>6573</v>
      </c>
      <c r="J953" s="75" t="s">
        <v>256</v>
      </c>
      <c r="K953" s="77">
        <v>3</v>
      </c>
      <c r="L953" s="78" t="s">
        <v>209</v>
      </c>
      <c r="M953" s="75" t="s">
        <v>1142</v>
      </c>
      <c r="N953" s="82">
        <v>197.19</v>
      </c>
    </row>
    <row r="954" spans="2:14" x14ac:dyDescent="0.25">
      <c r="B954" s="74" t="s">
        <v>1224</v>
      </c>
      <c r="C954" s="75">
        <v>36604616</v>
      </c>
      <c r="D954" s="75" t="s">
        <v>239</v>
      </c>
      <c r="E954" s="75">
        <v>41</v>
      </c>
      <c r="F954" s="75" t="s">
        <v>255</v>
      </c>
      <c r="G954" s="75" t="s">
        <v>247</v>
      </c>
      <c r="H954" s="75">
        <v>2</v>
      </c>
      <c r="I954" s="76">
        <v>2117</v>
      </c>
      <c r="J954" s="75" t="s">
        <v>248</v>
      </c>
      <c r="K954" s="77">
        <v>3</v>
      </c>
      <c r="L954" s="78" t="s">
        <v>210</v>
      </c>
      <c r="M954" s="75" t="s">
        <v>1142</v>
      </c>
      <c r="N954" s="82">
        <v>63.51</v>
      </c>
    </row>
    <row r="955" spans="2:14" x14ac:dyDescent="0.25">
      <c r="B955" s="74" t="s">
        <v>1225</v>
      </c>
      <c r="C955" s="75">
        <v>37550865</v>
      </c>
      <c r="D955" s="75" t="s">
        <v>239</v>
      </c>
      <c r="E955" s="75">
        <v>52</v>
      </c>
      <c r="F955" s="75" t="s">
        <v>251</v>
      </c>
      <c r="G955" s="75" t="s">
        <v>247</v>
      </c>
      <c r="H955" s="75">
        <v>1</v>
      </c>
      <c r="I955" s="76">
        <v>6867</v>
      </c>
      <c r="J955" s="75" t="s">
        <v>269</v>
      </c>
      <c r="K955" s="77">
        <v>3</v>
      </c>
      <c r="L955" s="78" t="s">
        <v>203</v>
      </c>
      <c r="M955" s="75" t="s">
        <v>1142</v>
      </c>
      <c r="N955" s="82">
        <v>206.01</v>
      </c>
    </row>
    <row r="956" spans="2:14" x14ac:dyDescent="0.25">
      <c r="B956" s="74" t="s">
        <v>1226</v>
      </c>
      <c r="C956" s="75">
        <v>66994019</v>
      </c>
      <c r="D956" s="75" t="s">
        <v>254</v>
      </c>
      <c r="E956" s="75">
        <v>47</v>
      </c>
      <c r="F956" s="75" t="s">
        <v>246</v>
      </c>
      <c r="G956" s="75" t="s">
        <v>247</v>
      </c>
      <c r="H956" s="75">
        <v>1</v>
      </c>
      <c r="I956" s="76">
        <v>7927</v>
      </c>
      <c r="J956" s="75" t="s">
        <v>262</v>
      </c>
      <c r="K956" s="77">
        <v>3</v>
      </c>
      <c r="L956" s="78" t="s">
        <v>212</v>
      </c>
      <c r="M956" s="75" t="s">
        <v>1142</v>
      </c>
      <c r="N956" s="82">
        <v>237.81</v>
      </c>
    </row>
    <row r="957" spans="2:14" x14ac:dyDescent="0.25">
      <c r="B957" s="74" t="s">
        <v>1227</v>
      </c>
      <c r="C957" s="75">
        <v>34549918</v>
      </c>
      <c r="D957" s="75" t="s">
        <v>239</v>
      </c>
      <c r="E957" s="75">
        <v>59</v>
      </c>
      <c r="F957" s="75" t="s">
        <v>240</v>
      </c>
      <c r="G957" s="75" t="s">
        <v>252</v>
      </c>
      <c r="H957" s="75">
        <v>2</v>
      </c>
      <c r="I957" s="76">
        <v>8160</v>
      </c>
      <c r="J957" s="75" t="s">
        <v>262</v>
      </c>
      <c r="K957" s="77">
        <v>3</v>
      </c>
      <c r="L957" s="78" t="s">
        <v>263</v>
      </c>
      <c r="M957" s="75" t="s">
        <v>1142</v>
      </c>
      <c r="N957" s="82">
        <v>244.8</v>
      </c>
    </row>
    <row r="958" spans="2:14" x14ac:dyDescent="0.25">
      <c r="B958" s="74" t="s">
        <v>1228</v>
      </c>
      <c r="C958" s="75">
        <v>35443346</v>
      </c>
      <c r="D958" s="75" t="s">
        <v>254</v>
      </c>
      <c r="E958" s="75">
        <v>40</v>
      </c>
      <c r="F958" s="75" t="s">
        <v>251</v>
      </c>
      <c r="G958" s="75" t="s">
        <v>247</v>
      </c>
      <c r="H958" s="75">
        <v>3</v>
      </c>
      <c r="I958" s="76">
        <v>8232</v>
      </c>
      <c r="J958" s="75" t="s">
        <v>242</v>
      </c>
      <c r="K958" s="77">
        <v>3</v>
      </c>
      <c r="L958" s="78" t="s">
        <v>214</v>
      </c>
      <c r="M958" s="75" t="s">
        <v>1142</v>
      </c>
      <c r="N958" s="82">
        <v>246.96</v>
      </c>
    </row>
    <row r="959" spans="2:14" x14ac:dyDescent="0.25">
      <c r="B959" s="74" t="s">
        <v>1229</v>
      </c>
      <c r="C959" s="75">
        <v>60469174</v>
      </c>
      <c r="D959" s="75" t="s">
        <v>239</v>
      </c>
      <c r="E959" s="75">
        <v>40</v>
      </c>
      <c r="F959" s="75" t="s">
        <v>240</v>
      </c>
      <c r="G959" s="75" t="s">
        <v>247</v>
      </c>
      <c r="H959" s="75">
        <v>1</v>
      </c>
      <c r="I959" s="76">
        <v>5968</v>
      </c>
      <c r="J959" s="75" t="s">
        <v>269</v>
      </c>
      <c r="K959" s="77">
        <v>3</v>
      </c>
      <c r="L959" s="78" t="s">
        <v>203</v>
      </c>
      <c r="M959" s="75" t="s">
        <v>1142</v>
      </c>
      <c r="N959" s="82">
        <v>179.04</v>
      </c>
    </row>
    <row r="960" spans="2:14" x14ac:dyDescent="0.25">
      <c r="B960" s="74" t="s">
        <v>1230</v>
      </c>
      <c r="C960" s="75">
        <v>46561900</v>
      </c>
      <c r="D960" s="75" t="s">
        <v>239</v>
      </c>
      <c r="E960" s="75">
        <v>39</v>
      </c>
      <c r="F960" s="75" t="s">
        <v>240</v>
      </c>
      <c r="G960" s="75" t="s">
        <v>241</v>
      </c>
      <c r="H960" s="75">
        <v>1</v>
      </c>
      <c r="I960" s="76">
        <v>8957</v>
      </c>
      <c r="J960" s="75" t="s">
        <v>242</v>
      </c>
      <c r="K960" s="77">
        <v>3</v>
      </c>
      <c r="L960" s="78" t="s">
        <v>214</v>
      </c>
      <c r="M960" s="75" t="s">
        <v>1142</v>
      </c>
      <c r="N960" s="82">
        <v>268.70999999999998</v>
      </c>
    </row>
    <row r="961" spans="2:14" x14ac:dyDescent="0.25">
      <c r="B961" s="74" t="s">
        <v>1231</v>
      </c>
      <c r="C961" s="75">
        <v>43105748</v>
      </c>
      <c r="D961" s="75" t="s">
        <v>239</v>
      </c>
      <c r="E961" s="75">
        <v>30</v>
      </c>
      <c r="F961" s="75" t="s">
        <v>251</v>
      </c>
      <c r="G961" s="75" t="s">
        <v>258</v>
      </c>
      <c r="H961" s="75">
        <v>2</v>
      </c>
      <c r="I961" s="76">
        <v>9942</v>
      </c>
      <c r="J961" s="75" t="s">
        <v>248</v>
      </c>
      <c r="K961" s="77">
        <v>3</v>
      </c>
      <c r="L961" s="78" t="s">
        <v>215</v>
      </c>
      <c r="M961" s="75" t="s">
        <v>1142</v>
      </c>
      <c r="N961" s="82">
        <v>298.26</v>
      </c>
    </row>
    <row r="962" spans="2:14" x14ac:dyDescent="0.25">
      <c r="B962" s="74" t="s">
        <v>1232</v>
      </c>
      <c r="C962" s="75">
        <v>55275472</v>
      </c>
      <c r="D962" s="75" t="s">
        <v>254</v>
      </c>
      <c r="E962" s="75">
        <v>32</v>
      </c>
      <c r="F962" s="75" t="s">
        <v>251</v>
      </c>
      <c r="G962" s="75" t="s">
        <v>247</v>
      </c>
      <c r="H962" s="75">
        <v>2</v>
      </c>
      <c r="I962" s="76">
        <v>5845</v>
      </c>
      <c r="J962" s="75" t="s">
        <v>248</v>
      </c>
      <c r="K962" s="77">
        <v>3</v>
      </c>
      <c r="L962" s="78" t="s">
        <v>213</v>
      </c>
      <c r="M962" s="75" t="s">
        <v>1142</v>
      </c>
      <c r="N962" s="82">
        <v>175.35</v>
      </c>
    </row>
    <row r="963" spans="2:14" x14ac:dyDescent="0.25">
      <c r="B963" s="74" t="s">
        <v>1233</v>
      </c>
      <c r="C963" s="75">
        <v>59274411</v>
      </c>
      <c r="D963" s="75" t="s">
        <v>254</v>
      </c>
      <c r="E963" s="75">
        <v>48</v>
      </c>
      <c r="F963" s="75" t="s">
        <v>251</v>
      </c>
      <c r="G963" s="75" t="s">
        <v>252</v>
      </c>
      <c r="H963" s="75">
        <v>3</v>
      </c>
      <c r="I963" s="76">
        <v>4961</v>
      </c>
      <c r="J963" s="75" t="s">
        <v>269</v>
      </c>
      <c r="K963" s="77">
        <v>2</v>
      </c>
      <c r="L963" s="78" t="s">
        <v>209</v>
      </c>
      <c r="M963" s="75" t="s">
        <v>1142</v>
      </c>
      <c r="N963" s="82">
        <v>99.22</v>
      </c>
    </row>
    <row r="964" spans="2:14" x14ac:dyDescent="0.25">
      <c r="B964" s="74" t="s">
        <v>1234</v>
      </c>
      <c r="C964" s="75">
        <v>46294057</v>
      </c>
      <c r="D964" s="75" t="s">
        <v>239</v>
      </c>
      <c r="E964" s="75">
        <v>36</v>
      </c>
      <c r="F964" s="75" t="s">
        <v>246</v>
      </c>
      <c r="G964" s="75" t="s">
        <v>258</v>
      </c>
      <c r="H964" s="75">
        <v>1</v>
      </c>
      <c r="I964" s="76">
        <v>4403</v>
      </c>
      <c r="J964" s="75" t="s">
        <v>242</v>
      </c>
      <c r="K964" s="77">
        <v>2</v>
      </c>
      <c r="L964" s="78" t="s">
        <v>263</v>
      </c>
      <c r="M964" s="75" t="s">
        <v>1142</v>
      </c>
      <c r="N964" s="82">
        <v>88.06</v>
      </c>
    </row>
    <row r="965" spans="2:14" x14ac:dyDescent="0.25">
      <c r="B965" s="74" t="s">
        <v>1235</v>
      </c>
      <c r="C965" s="75">
        <v>37828258</v>
      </c>
      <c r="D965" s="75" t="s">
        <v>239</v>
      </c>
      <c r="E965" s="75">
        <v>55</v>
      </c>
      <c r="F965" s="75" t="s">
        <v>255</v>
      </c>
      <c r="G965" s="75" t="s">
        <v>258</v>
      </c>
      <c r="H965" s="75">
        <v>2</v>
      </c>
      <c r="I965" s="76">
        <v>3923</v>
      </c>
      <c r="J965" s="75" t="s">
        <v>269</v>
      </c>
      <c r="K965" s="77">
        <v>2</v>
      </c>
      <c r="L965" s="78" t="s">
        <v>243</v>
      </c>
      <c r="M965" s="75" t="s">
        <v>1142</v>
      </c>
      <c r="N965" s="82">
        <v>78.459999999999994</v>
      </c>
    </row>
    <row r="966" spans="2:14" x14ac:dyDescent="0.25">
      <c r="B966" s="74" t="s">
        <v>1236</v>
      </c>
      <c r="C966" s="75">
        <v>39474052</v>
      </c>
      <c r="D966" s="75" t="s">
        <v>239</v>
      </c>
      <c r="E966" s="75">
        <v>34</v>
      </c>
      <c r="F966" s="75" t="s">
        <v>246</v>
      </c>
      <c r="G966" s="75" t="s">
        <v>241</v>
      </c>
      <c r="H966" s="75">
        <v>2</v>
      </c>
      <c r="I966" s="76">
        <v>9638</v>
      </c>
      <c r="J966" s="75" t="s">
        <v>248</v>
      </c>
      <c r="K966" s="77">
        <v>2</v>
      </c>
      <c r="L966" s="78" t="s">
        <v>214</v>
      </c>
      <c r="M966" s="75" t="s">
        <v>1142</v>
      </c>
      <c r="N966" s="82">
        <v>192.76</v>
      </c>
    </row>
    <row r="967" spans="2:14" x14ac:dyDescent="0.25">
      <c r="B967" s="74" t="s">
        <v>1237</v>
      </c>
      <c r="C967" s="75">
        <v>48635338</v>
      </c>
      <c r="D967" s="75" t="s">
        <v>239</v>
      </c>
      <c r="E967" s="75">
        <v>35</v>
      </c>
      <c r="F967" s="75" t="s">
        <v>251</v>
      </c>
      <c r="G967" s="75" t="s">
        <v>247</v>
      </c>
      <c r="H967" s="75">
        <v>0</v>
      </c>
      <c r="I967" s="76">
        <v>2347</v>
      </c>
      <c r="J967" s="75" t="s">
        <v>262</v>
      </c>
      <c r="K967" s="77">
        <v>2</v>
      </c>
      <c r="L967" s="78" t="s">
        <v>263</v>
      </c>
      <c r="M967" s="75" t="s">
        <v>1142</v>
      </c>
      <c r="N967" s="82">
        <v>46.94</v>
      </c>
    </row>
    <row r="968" spans="2:14" x14ac:dyDescent="0.25">
      <c r="B968" s="74" t="s">
        <v>1238</v>
      </c>
      <c r="C968" s="75">
        <v>56015149</v>
      </c>
      <c r="D968" s="75" t="s">
        <v>254</v>
      </c>
      <c r="E968" s="75">
        <v>43</v>
      </c>
      <c r="F968" s="75" t="s">
        <v>246</v>
      </c>
      <c r="G968" s="75" t="s">
        <v>252</v>
      </c>
      <c r="H968" s="75">
        <v>4</v>
      </c>
      <c r="I968" s="76">
        <v>7872</v>
      </c>
      <c r="J968" s="75" t="s">
        <v>242</v>
      </c>
      <c r="K968" s="77">
        <v>2</v>
      </c>
      <c r="L968" s="78" t="s">
        <v>279</v>
      </c>
      <c r="M968" s="75" t="s">
        <v>1142</v>
      </c>
      <c r="N968" s="82">
        <v>157.44</v>
      </c>
    </row>
    <row r="969" spans="2:14" x14ac:dyDescent="0.25">
      <c r="B969" s="74" t="s">
        <v>1239</v>
      </c>
      <c r="C969" s="75">
        <v>62645541</v>
      </c>
      <c r="D969" s="75" t="s">
        <v>254</v>
      </c>
      <c r="E969" s="75">
        <v>44</v>
      </c>
      <c r="F969" s="75" t="s">
        <v>246</v>
      </c>
      <c r="G969" s="75" t="s">
        <v>258</v>
      </c>
      <c r="H969" s="75">
        <v>1</v>
      </c>
      <c r="I969" s="76">
        <v>9491</v>
      </c>
      <c r="J969" s="75" t="s">
        <v>262</v>
      </c>
      <c r="K969" s="77">
        <v>2</v>
      </c>
      <c r="L969" s="78" t="s">
        <v>243</v>
      </c>
      <c r="M969" s="75" t="s">
        <v>1142</v>
      </c>
      <c r="N969" s="82">
        <v>189.82</v>
      </c>
    </row>
    <row r="970" spans="2:14" x14ac:dyDescent="0.25">
      <c r="B970" s="74" t="s">
        <v>1240</v>
      </c>
      <c r="C970" s="75">
        <v>25097341</v>
      </c>
      <c r="D970" s="75" t="s">
        <v>239</v>
      </c>
      <c r="E970" s="75">
        <v>45</v>
      </c>
      <c r="F970" s="75" t="s">
        <v>251</v>
      </c>
      <c r="G970" s="75" t="s">
        <v>241</v>
      </c>
      <c r="H970" s="75">
        <v>1</v>
      </c>
      <c r="I970" s="76">
        <v>6596</v>
      </c>
      <c r="J970" s="75" t="s">
        <v>256</v>
      </c>
      <c r="K970" s="77">
        <v>2</v>
      </c>
      <c r="L970" s="78" t="s">
        <v>279</v>
      </c>
      <c r="M970" s="75" t="s">
        <v>1142</v>
      </c>
      <c r="N970" s="82">
        <v>131.91999999999999</v>
      </c>
    </row>
    <row r="971" spans="2:14" x14ac:dyDescent="0.25">
      <c r="B971" s="74" t="s">
        <v>1241</v>
      </c>
      <c r="C971" s="75">
        <v>24032081</v>
      </c>
      <c r="D971" s="75" t="s">
        <v>239</v>
      </c>
      <c r="E971" s="75">
        <v>65</v>
      </c>
      <c r="F971" s="75" t="s">
        <v>240</v>
      </c>
      <c r="G971" s="75" t="s">
        <v>258</v>
      </c>
      <c r="H971" s="75">
        <v>1</v>
      </c>
      <c r="I971" s="76">
        <v>9301</v>
      </c>
      <c r="J971" s="75" t="s">
        <v>262</v>
      </c>
      <c r="K971" s="77">
        <v>2</v>
      </c>
      <c r="L971" s="78" t="s">
        <v>203</v>
      </c>
      <c r="M971" s="75" t="s">
        <v>1142</v>
      </c>
      <c r="N971" s="82">
        <v>186.02</v>
      </c>
    </row>
    <row r="972" spans="2:14" x14ac:dyDescent="0.25">
      <c r="B972" s="74" t="s">
        <v>1242</v>
      </c>
      <c r="C972" s="75">
        <v>30727665</v>
      </c>
      <c r="D972" s="75" t="s">
        <v>239</v>
      </c>
      <c r="E972" s="75">
        <v>65</v>
      </c>
      <c r="F972" s="75" t="s">
        <v>251</v>
      </c>
      <c r="G972" s="75" t="s">
        <v>247</v>
      </c>
      <c r="H972" s="75">
        <v>2</v>
      </c>
      <c r="I972" s="76">
        <v>7839</v>
      </c>
      <c r="J972" s="75" t="s">
        <v>248</v>
      </c>
      <c r="K972" s="77">
        <v>2</v>
      </c>
      <c r="L972" s="78" t="s">
        <v>203</v>
      </c>
      <c r="M972" s="75" t="s">
        <v>1142</v>
      </c>
      <c r="N972" s="82">
        <v>156.78</v>
      </c>
    </row>
    <row r="973" spans="2:14" x14ac:dyDescent="0.25">
      <c r="B973" s="74" t="s">
        <v>1243</v>
      </c>
      <c r="C973" s="75">
        <v>43625420</v>
      </c>
      <c r="D973" s="75" t="s">
        <v>239</v>
      </c>
      <c r="E973" s="75">
        <v>54</v>
      </c>
      <c r="F973" s="75" t="s">
        <v>240</v>
      </c>
      <c r="G973" s="75" t="s">
        <v>241</v>
      </c>
      <c r="H973" s="75">
        <v>1</v>
      </c>
      <c r="I973" s="76">
        <v>5945</v>
      </c>
      <c r="J973" s="75" t="s">
        <v>262</v>
      </c>
      <c r="K973" s="77">
        <v>2</v>
      </c>
      <c r="L973" s="78" t="s">
        <v>212</v>
      </c>
      <c r="M973" s="75" t="s">
        <v>1142</v>
      </c>
      <c r="N973" s="82">
        <v>118.9</v>
      </c>
    </row>
    <row r="974" spans="2:14" x14ac:dyDescent="0.25">
      <c r="B974" s="74" t="s">
        <v>1244</v>
      </c>
      <c r="C974" s="75">
        <v>48444345</v>
      </c>
      <c r="D974" s="75" t="s">
        <v>254</v>
      </c>
      <c r="E974" s="75">
        <v>64</v>
      </c>
      <c r="F974" s="75" t="s">
        <v>255</v>
      </c>
      <c r="G974" s="75" t="s">
        <v>252</v>
      </c>
      <c r="H974" s="75">
        <v>4</v>
      </c>
      <c r="I974" s="76">
        <v>3292</v>
      </c>
      <c r="J974" s="75" t="s">
        <v>242</v>
      </c>
      <c r="K974" s="77">
        <v>2</v>
      </c>
      <c r="L974" s="78" t="s">
        <v>193</v>
      </c>
      <c r="M974" s="75" t="s">
        <v>1142</v>
      </c>
      <c r="N974" s="82">
        <v>65.84</v>
      </c>
    </row>
    <row r="975" spans="2:14" x14ac:dyDescent="0.25">
      <c r="B975" s="74" t="s">
        <v>1245</v>
      </c>
      <c r="C975" s="75">
        <v>35515672</v>
      </c>
      <c r="D975" s="75" t="s">
        <v>254</v>
      </c>
      <c r="E975" s="75">
        <v>27</v>
      </c>
      <c r="F975" s="75" t="s">
        <v>255</v>
      </c>
      <c r="G975" s="75" t="s">
        <v>258</v>
      </c>
      <c r="H975" s="75">
        <v>2</v>
      </c>
      <c r="I975" s="76">
        <v>5026</v>
      </c>
      <c r="J975" s="75" t="s">
        <v>269</v>
      </c>
      <c r="K975" s="77">
        <v>2</v>
      </c>
      <c r="L975" s="78" t="s">
        <v>212</v>
      </c>
      <c r="M975" s="75" t="s">
        <v>1142</v>
      </c>
      <c r="N975" s="82">
        <v>100.52</v>
      </c>
    </row>
    <row r="976" spans="2:14" x14ac:dyDescent="0.25">
      <c r="B976" s="74" t="s">
        <v>1246</v>
      </c>
      <c r="C976" s="75">
        <v>50609807</v>
      </c>
      <c r="D976" s="75" t="s">
        <v>239</v>
      </c>
      <c r="E976" s="75">
        <v>28</v>
      </c>
      <c r="F976" s="75" t="s">
        <v>255</v>
      </c>
      <c r="G976" s="75" t="s">
        <v>247</v>
      </c>
      <c r="H976" s="75">
        <v>0</v>
      </c>
      <c r="I976" s="76">
        <v>8640</v>
      </c>
      <c r="J976" s="75" t="s">
        <v>242</v>
      </c>
      <c r="K976" s="77">
        <v>2</v>
      </c>
      <c r="L976" s="78" t="s">
        <v>213</v>
      </c>
      <c r="M976" s="75" t="s">
        <v>1142</v>
      </c>
      <c r="N976" s="82">
        <v>172.8</v>
      </c>
    </row>
    <row r="977" spans="2:14" x14ac:dyDescent="0.25">
      <c r="B977" s="74" t="s">
        <v>1247</v>
      </c>
      <c r="C977" s="75">
        <v>66636435</v>
      </c>
      <c r="D977" s="75" t="s">
        <v>239</v>
      </c>
      <c r="E977" s="75">
        <v>55</v>
      </c>
      <c r="F977" s="75" t="s">
        <v>240</v>
      </c>
      <c r="G977" s="75" t="s">
        <v>252</v>
      </c>
      <c r="H977" s="75">
        <v>1</v>
      </c>
      <c r="I977" s="76">
        <v>9387</v>
      </c>
      <c r="J977" s="75" t="s">
        <v>256</v>
      </c>
      <c r="K977" s="77">
        <v>2</v>
      </c>
      <c r="L977" s="78" t="s">
        <v>271</v>
      </c>
      <c r="M977" s="75" t="s">
        <v>1142</v>
      </c>
      <c r="N977" s="82">
        <v>187.74</v>
      </c>
    </row>
    <row r="978" spans="2:14" x14ac:dyDescent="0.25">
      <c r="B978" s="74" t="s">
        <v>1248</v>
      </c>
      <c r="C978" s="75">
        <v>46746571</v>
      </c>
      <c r="D978" s="75" t="s">
        <v>254</v>
      </c>
      <c r="E978" s="75">
        <v>22</v>
      </c>
      <c r="F978" s="75" t="s">
        <v>240</v>
      </c>
      <c r="G978" s="75" t="s">
        <v>258</v>
      </c>
      <c r="H978" s="75">
        <v>2</v>
      </c>
      <c r="I978" s="76">
        <v>3210</v>
      </c>
      <c r="J978" s="75" t="s">
        <v>269</v>
      </c>
      <c r="K978" s="77">
        <v>2</v>
      </c>
      <c r="L978" s="78" t="s">
        <v>215</v>
      </c>
      <c r="M978" s="75" t="s">
        <v>1142</v>
      </c>
      <c r="N978" s="82">
        <v>64.2</v>
      </c>
    </row>
    <row r="979" spans="2:14" x14ac:dyDescent="0.25">
      <c r="B979" s="74" t="s">
        <v>1249</v>
      </c>
      <c r="C979" s="75">
        <v>63276742</v>
      </c>
      <c r="D979" s="75" t="s">
        <v>239</v>
      </c>
      <c r="E979" s="75">
        <v>22</v>
      </c>
      <c r="F979" s="75" t="s">
        <v>240</v>
      </c>
      <c r="G979" s="75" t="s">
        <v>258</v>
      </c>
      <c r="H979" s="75">
        <v>1</v>
      </c>
      <c r="I979" s="76">
        <v>7424</v>
      </c>
      <c r="J979" s="75" t="s">
        <v>242</v>
      </c>
      <c r="K979" s="77">
        <v>2</v>
      </c>
      <c r="L979" s="78" t="s">
        <v>203</v>
      </c>
      <c r="M979" s="75" t="s">
        <v>1142</v>
      </c>
      <c r="N979" s="82">
        <v>148.47999999999999</v>
      </c>
    </row>
    <row r="980" spans="2:14" x14ac:dyDescent="0.25">
      <c r="B980" s="74" t="s">
        <v>1250</v>
      </c>
      <c r="C980" s="75">
        <v>35955418</v>
      </c>
      <c r="D980" s="75" t="s">
        <v>239</v>
      </c>
      <c r="E980" s="75">
        <v>38</v>
      </c>
      <c r="F980" s="75" t="s">
        <v>251</v>
      </c>
      <c r="G980" s="75" t="s">
        <v>258</v>
      </c>
      <c r="H980" s="75">
        <v>2</v>
      </c>
      <c r="I980" s="76">
        <v>9414</v>
      </c>
      <c r="J980" s="75" t="s">
        <v>248</v>
      </c>
      <c r="K980" s="77">
        <v>2</v>
      </c>
      <c r="L980" s="78" t="s">
        <v>214</v>
      </c>
      <c r="M980" s="75" t="s">
        <v>1142</v>
      </c>
      <c r="N980" s="82">
        <v>188.28</v>
      </c>
    </row>
    <row r="981" spans="2:14" x14ac:dyDescent="0.25">
      <c r="B981" s="74" t="s">
        <v>1251</v>
      </c>
      <c r="C981" s="75">
        <v>69126329</v>
      </c>
      <c r="D981" s="75" t="s">
        <v>239</v>
      </c>
      <c r="E981" s="75">
        <v>46</v>
      </c>
      <c r="F981" s="75" t="s">
        <v>255</v>
      </c>
      <c r="G981" s="75" t="s">
        <v>258</v>
      </c>
      <c r="H981" s="75">
        <v>3</v>
      </c>
      <c r="I981" s="76">
        <v>7790</v>
      </c>
      <c r="J981" s="75" t="s">
        <v>242</v>
      </c>
      <c r="K981" s="77">
        <v>1</v>
      </c>
      <c r="L981" s="78" t="s">
        <v>213</v>
      </c>
      <c r="M981" s="75" t="s">
        <v>1142</v>
      </c>
      <c r="N981" s="82">
        <v>77.900000000000006</v>
      </c>
    </row>
    <row r="982" spans="2:14" x14ac:dyDescent="0.25">
      <c r="B982" s="74" t="s">
        <v>1252</v>
      </c>
      <c r="C982" s="75">
        <v>38923662</v>
      </c>
      <c r="D982" s="75" t="s">
        <v>254</v>
      </c>
      <c r="E982" s="75">
        <v>52</v>
      </c>
      <c r="F982" s="75" t="s">
        <v>255</v>
      </c>
      <c r="G982" s="75" t="s">
        <v>252</v>
      </c>
      <c r="H982" s="75">
        <v>1</v>
      </c>
      <c r="I982" s="76">
        <v>8935</v>
      </c>
      <c r="J982" s="75" t="s">
        <v>248</v>
      </c>
      <c r="K982" s="77">
        <v>1</v>
      </c>
      <c r="L982" s="78" t="s">
        <v>215</v>
      </c>
      <c r="M982" s="75" t="s">
        <v>1142</v>
      </c>
      <c r="N982" s="82">
        <v>89.35</v>
      </c>
    </row>
    <row r="983" spans="2:14" x14ac:dyDescent="0.25">
      <c r="B983" s="74" t="s">
        <v>1253</v>
      </c>
      <c r="C983" s="75">
        <v>65152450</v>
      </c>
      <c r="D983" s="75" t="s">
        <v>254</v>
      </c>
      <c r="E983" s="75">
        <v>27</v>
      </c>
      <c r="F983" s="75" t="s">
        <v>251</v>
      </c>
      <c r="G983" s="75" t="s">
        <v>247</v>
      </c>
      <c r="H983" s="75">
        <v>2</v>
      </c>
      <c r="I983" s="76">
        <v>7765</v>
      </c>
      <c r="J983" s="75" t="s">
        <v>269</v>
      </c>
      <c r="K983" s="77">
        <v>1</v>
      </c>
      <c r="L983" s="78" t="s">
        <v>209</v>
      </c>
      <c r="M983" s="75" t="s">
        <v>1142</v>
      </c>
      <c r="N983" s="82">
        <v>77.650000000000006</v>
      </c>
    </row>
    <row r="984" spans="2:14" x14ac:dyDescent="0.25">
      <c r="B984" s="74" t="s">
        <v>1254</v>
      </c>
      <c r="C984" s="75">
        <v>66243452</v>
      </c>
      <c r="D984" s="75" t="s">
        <v>254</v>
      </c>
      <c r="E984" s="75">
        <v>61</v>
      </c>
      <c r="F984" s="75" t="s">
        <v>240</v>
      </c>
      <c r="G984" s="75" t="s">
        <v>241</v>
      </c>
      <c r="H984" s="75">
        <v>1</v>
      </c>
      <c r="I984" s="76">
        <v>6198</v>
      </c>
      <c r="J984" s="75" t="s">
        <v>262</v>
      </c>
      <c r="K984" s="77">
        <v>1</v>
      </c>
      <c r="L984" s="78" t="s">
        <v>203</v>
      </c>
      <c r="M984" s="75" t="s">
        <v>1142</v>
      </c>
      <c r="N984" s="82">
        <v>61.98</v>
      </c>
    </row>
    <row r="985" spans="2:14" x14ac:dyDescent="0.25">
      <c r="B985" s="74" t="s">
        <v>1255</v>
      </c>
      <c r="C985" s="75">
        <v>32525639</v>
      </c>
      <c r="D985" s="75" t="s">
        <v>239</v>
      </c>
      <c r="E985" s="75">
        <v>28</v>
      </c>
      <c r="F985" s="75" t="s">
        <v>255</v>
      </c>
      <c r="G985" s="75" t="s">
        <v>241</v>
      </c>
      <c r="H985" s="75">
        <v>4</v>
      </c>
      <c r="I985" s="76">
        <v>8534</v>
      </c>
      <c r="J985" s="75" t="s">
        <v>256</v>
      </c>
      <c r="K985" s="77">
        <v>1</v>
      </c>
      <c r="L985" s="78" t="s">
        <v>203</v>
      </c>
      <c r="M985" s="75" t="s">
        <v>1142</v>
      </c>
      <c r="N985" s="82">
        <v>85.34</v>
      </c>
    </row>
    <row r="986" spans="2:14" x14ac:dyDescent="0.25">
      <c r="B986" s="74" t="s">
        <v>1256</v>
      </c>
      <c r="C986" s="75">
        <v>49964319</v>
      </c>
      <c r="D986" s="75" t="s">
        <v>254</v>
      </c>
      <c r="E986" s="75">
        <v>65</v>
      </c>
      <c r="F986" s="75" t="s">
        <v>251</v>
      </c>
      <c r="G986" s="75" t="s">
        <v>241</v>
      </c>
      <c r="H986" s="75">
        <v>2</v>
      </c>
      <c r="I986" s="76">
        <v>6428</v>
      </c>
      <c r="J986" s="75" t="s">
        <v>262</v>
      </c>
      <c r="K986" s="77">
        <v>1</v>
      </c>
      <c r="L986" s="78" t="s">
        <v>214</v>
      </c>
      <c r="M986" s="75" t="s">
        <v>1142</v>
      </c>
      <c r="N986" s="82">
        <v>64.28</v>
      </c>
    </row>
    <row r="987" spans="2:14" x14ac:dyDescent="0.25">
      <c r="B987" s="74" t="s">
        <v>1257</v>
      </c>
      <c r="C987" s="75">
        <v>39602288</v>
      </c>
      <c r="D987" s="75" t="s">
        <v>254</v>
      </c>
      <c r="E987" s="75">
        <v>19</v>
      </c>
      <c r="F987" s="75" t="s">
        <v>255</v>
      </c>
      <c r="G987" s="75" t="s">
        <v>241</v>
      </c>
      <c r="H987" s="75">
        <v>3</v>
      </c>
      <c r="I987" s="76">
        <v>4470</v>
      </c>
      <c r="J987" s="75" t="s">
        <v>248</v>
      </c>
      <c r="K987" s="77">
        <v>1</v>
      </c>
      <c r="L987" s="78" t="s">
        <v>214</v>
      </c>
      <c r="M987" s="75" t="s">
        <v>1142</v>
      </c>
      <c r="N987" s="82">
        <v>44.7</v>
      </c>
    </row>
    <row r="988" spans="2:14" x14ac:dyDescent="0.25">
      <c r="B988" s="74" t="s">
        <v>1258</v>
      </c>
      <c r="C988" s="75">
        <v>65805694</v>
      </c>
      <c r="D988" s="75" t="s">
        <v>254</v>
      </c>
      <c r="E988" s="75">
        <v>52</v>
      </c>
      <c r="F988" s="75" t="s">
        <v>251</v>
      </c>
      <c r="G988" s="75" t="s">
        <v>258</v>
      </c>
      <c r="H988" s="75">
        <v>0</v>
      </c>
      <c r="I988" s="76">
        <v>8439</v>
      </c>
      <c r="J988" s="75" t="s">
        <v>242</v>
      </c>
      <c r="K988" s="77">
        <v>1</v>
      </c>
      <c r="L988" s="78" t="s">
        <v>214</v>
      </c>
      <c r="M988" s="75" t="s">
        <v>1142</v>
      </c>
      <c r="N988" s="82">
        <v>84.39</v>
      </c>
    </row>
    <row r="989" spans="2:14" x14ac:dyDescent="0.25">
      <c r="B989" s="74" t="s">
        <v>1259</v>
      </c>
      <c r="C989" s="75">
        <v>47286985</v>
      </c>
      <c r="D989" s="75" t="s">
        <v>254</v>
      </c>
      <c r="E989" s="75">
        <v>36</v>
      </c>
      <c r="F989" s="75" t="s">
        <v>255</v>
      </c>
      <c r="G989" s="75" t="s">
        <v>241</v>
      </c>
      <c r="H989" s="75">
        <v>2</v>
      </c>
      <c r="I989" s="76">
        <v>4986</v>
      </c>
      <c r="J989" s="75" t="s">
        <v>248</v>
      </c>
      <c r="K989" s="77">
        <v>1</v>
      </c>
      <c r="L989" s="78" t="s">
        <v>279</v>
      </c>
      <c r="M989" s="75" t="s">
        <v>1142</v>
      </c>
      <c r="N989" s="82">
        <v>49.86</v>
      </c>
    </row>
    <row r="990" spans="2:14" x14ac:dyDescent="0.25">
      <c r="B990" s="74" t="s">
        <v>1260</v>
      </c>
      <c r="C990" s="75">
        <v>33142419</v>
      </c>
      <c r="D990" s="75" t="s">
        <v>254</v>
      </c>
      <c r="E990" s="75">
        <v>45</v>
      </c>
      <c r="F990" s="75" t="s">
        <v>246</v>
      </c>
      <c r="G990" s="75" t="s">
        <v>247</v>
      </c>
      <c r="H990" s="75">
        <v>4</v>
      </c>
      <c r="I990" s="76">
        <v>7596</v>
      </c>
      <c r="J990" s="75" t="s">
        <v>269</v>
      </c>
      <c r="K990" s="77">
        <v>1</v>
      </c>
      <c r="L990" s="78" t="s">
        <v>213</v>
      </c>
      <c r="M990" s="75" t="s">
        <v>1142</v>
      </c>
      <c r="N990" s="82">
        <v>75.959999999999994</v>
      </c>
    </row>
    <row r="991" spans="2:14" x14ac:dyDescent="0.25">
      <c r="B991" s="74" t="s">
        <v>1261</v>
      </c>
      <c r="C991" s="75">
        <v>31101318</v>
      </c>
      <c r="D991" s="75" t="s">
        <v>239</v>
      </c>
      <c r="E991" s="75">
        <v>45</v>
      </c>
      <c r="F991" s="75" t="s">
        <v>246</v>
      </c>
      <c r="G991" s="75" t="s">
        <v>247</v>
      </c>
      <c r="H991" s="75">
        <v>2</v>
      </c>
      <c r="I991" s="76">
        <v>9425</v>
      </c>
      <c r="J991" s="75" t="s">
        <v>269</v>
      </c>
      <c r="K991" s="77">
        <v>1</v>
      </c>
      <c r="L991" s="78" t="s">
        <v>214</v>
      </c>
      <c r="M991" s="75" t="s">
        <v>1142</v>
      </c>
      <c r="N991" s="82">
        <v>94.25</v>
      </c>
    </row>
    <row r="992" spans="2:14" x14ac:dyDescent="0.25">
      <c r="B992" s="74" t="s">
        <v>1262</v>
      </c>
      <c r="C992" s="75">
        <v>27836654</v>
      </c>
      <c r="D992" s="75" t="s">
        <v>239</v>
      </c>
      <c r="E992" s="75">
        <v>28</v>
      </c>
      <c r="F992" s="75" t="s">
        <v>255</v>
      </c>
      <c r="G992" s="75" t="s">
        <v>252</v>
      </c>
      <c r="H992" s="75">
        <v>3</v>
      </c>
      <c r="I992" s="76">
        <v>6784</v>
      </c>
      <c r="J992" s="75" t="s">
        <v>248</v>
      </c>
      <c r="K992" s="77">
        <v>1</v>
      </c>
      <c r="L992" s="78" t="s">
        <v>263</v>
      </c>
      <c r="M992" s="75" t="s">
        <v>1142</v>
      </c>
      <c r="N992" s="82">
        <v>67.84</v>
      </c>
    </row>
    <row r="993" spans="2:14" x14ac:dyDescent="0.25">
      <c r="B993" s="74" t="s">
        <v>1263</v>
      </c>
      <c r="C993" s="75">
        <v>41993991</v>
      </c>
      <c r="D993" s="75" t="s">
        <v>254</v>
      </c>
      <c r="E993" s="75">
        <v>32</v>
      </c>
      <c r="F993" s="75" t="s">
        <v>255</v>
      </c>
      <c r="G993" s="75" t="s">
        <v>252</v>
      </c>
      <c r="H993" s="75">
        <v>2</v>
      </c>
      <c r="I993" s="76">
        <v>4425</v>
      </c>
      <c r="J993" s="75" t="s">
        <v>256</v>
      </c>
      <c r="K993" s="77">
        <v>1</v>
      </c>
      <c r="L993" s="78" t="s">
        <v>209</v>
      </c>
      <c r="M993" s="75" t="s">
        <v>1142</v>
      </c>
      <c r="N993" s="82">
        <v>44.25</v>
      </c>
    </row>
    <row r="994" spans="2:14" x14ac:dyDescent="0.25">
      <c r="B994" s="74" t="s">
        <v>1264</v>
      </c>
      <c r="C994" s="75">
        <v>44636673</v>
      </c>
      <c r="D994" s="75" t="s">
        <v>239</v>
      </c>
      <c r="E994" s="75">
        <v>50</v>
      </c>
      <c r="F994" s="75" t="s">
        <v>251</v>
      </c>
      <c r="G994" s="75" t="s">
        <v>258</v>
      </c>
      <c r="H994" s="75">
        <v>3</v>
      </c>
      <c r="I994" s="76">
        <v>8662</v>
      </c>
      <c r="J994" s="75" t="s">
        <v>248</v>
      </c>
      <c r="K994" s="77">
        <v>0</v>
      </c>
      <c r="L994" s="78" t="s">
        <v>382</v>
      </c>
      <c r="M994" s="75" t="s">
        <v>1142</v>
      </c>
      <c r="N994" s="82">
        <v>0</v>
      </c>
    </row>
    <row r="995" spans="2:14" x14ac:dyDescent="0.25">
      <c r="B995" s="74" t="s">
        <v>1265</v>
      </c>
      <c r="C995" s="75">
        <v>35682074</v>
      </c>
      <c r="D995" s="75" t="s">
        <v>239</v>
      </c>
      <c r="E995" s="75">
        <v>56</v>
      </c>
      <c r="F995" s="75" t="s">
        <v>255</v>
      </c>
      <c r="G995" s="75" t="s">
        <v>247</v>
      </c>
      <c r="H995" s="75">
        <v>1</v>
      </c>
      <c r="I995" s="76">
        <v>3216</v>
      </c>
      <c r="J995" s="75" t="s">
        <v>256</v>
      </c>
      <c r="K995" s="77">
        <v>0</v>
      </c>
      <c r="L995" s="78" t="s">
        <v>382</v>
      </c>
      <c r="M995" s="75" t="s">
        <v>1142</v>
      </c>
      <c r="N995" s="82">
        <v>0</v>
      </c>
    </row>
    <row r="996" spans="2:14" x14ac:dyDescent="0.25">
      <c r="B996" s="74" t="s">
        <v>1266</v>
      </c>
      <c r="C996" s="75">
        <v>37163491</v>
      </c>
      <c r="D996" s="75" t="s">
        <v>254</v>
      </c>
      <c r="E996" s="75">
        <v>40</v>
      </c>
      <c r="F996" s="75" t="s">
        <v>240</v>
      </c>
      <c r="G996" s="75" t="s">
        <v>247</v>
      </c>
      <c r="H996" s="75">
        <v>1</v>
      </c>
      <c r="I996" s="76">
        <v>6440</v>
      </c>
      <c r="J996" s="75" t="s">
        <v>248</v>
      </c>
      <c r="K996" s="77">
        <v>0</v>
      </c>
      <c r="L996" s="78" t="s">
        <v>382</v>
      </c>
      <c r="M996" s="75" t="s">
        <v>1142</v>
      </c>
      <c r="N996" s="82">
        <v>0</v>
      </c>
    </row>
    <row r="997" spans="2:14" x14ac:dyDescent="0.25">
      <c r="B997" s="74" t="s">
        <v>1267</v>
      </c>
      <c r="C997" s="75">
        <v>65679863</v>
      </c>
      <c r="D997" s="75" t="s">
        <v>239</v>
      </c>
      <c r="E997" s="75">
        <v>23</v>
      </c>
      <c r="F997" s="75" t="s">
        <v>246</v>
      </c>
      <c r="G997" s="75" t="s">
        <v>247</v>
      </c>
      <c r="H997" s="75">
        <v>0</v>
      </c>
      <c r="I997" s="76">
        <v>5110</v>
      </c>
      <c r="J997" s="75" t="s">
        <v>262</v>
      </c>
      <c r="K997" s="77">
        <v>0</v>
      </c>
      <c r="L997" s="78" t="s">
        <v>382</v>
      </c>
      <c r="M997" s="75" t="s">
        <v>1142</v>
      </c>
      <c r="N997" s="82">
        <v>0</v>
      </c>
    </row>
    <row r="998" spans="2:14" x14ac:dyDescent="0.25">
      <c r="B998" s="74" t="s">
        <v>1268</v>
      </c>
      <c r="C998" s="75">
        <v>46963761</v>
      </c>
      <c r="D998" s="75" t="s">
        <v>239</v>
      </c>
      <c r="E998" s="75">
        <v>22</v>
      </c>
      <c r="F998" s="75" t="s">
        <v>240</v>
      </c>
      <c r="G998" s="75" t="s">
        <v>258</v>
      </c>
      <c r="H998" s="75">
        <v>0</v>
      </c>
      <c r="I998" s="76">
        <v>5877</v>
      </c>
      <c r="J998" s="75" t="s">
        <v>256</v>
      </c>
      <c r="K998" s="77">
        <v>0</v>
      </c>
      <c r="L998" s="78" t="s">
        <v>382</v>
      </c>
      <c r="M998" s="75" t="s">
        <v>1142</v>
      </c>
      <c r="N998" s="82">
        <v>0</v>
      </c>
    </row>
    <row r="999" spans="2:14" x14ac:dyDescent="0.25">
      <c r="B999" s="74" t="s">
        <v>1269</v>
      </c>
      <c r="C999" s="75">
        <v>30255941</v>
      </c>
      <c r="D999" s="75" t="s">
        <v>254</v>
      </c>
      <c r="E999" s="75">
        <v>55</v>
      </c>
      <c r="F999" s="75" t="s">
        <v>251</v>
      </c>
      <c r="G999" s="75" t="s">
        <v>247</v>
      </c>
      <c r="H999" s="75">
        <v>1</v>
      </c>
      <c r="I999" s="76">
        <v>9754</v>
      </c>
      <c r="J999" s="75" t="s">
        <v>269</v>
      </c>
      <c r="K999" s="77">
        <v>0</v>
      </c>
      <c r="L999" s="78" t="s">
        <v>382</v>
      </c>
      <c r="M999" s="75" t="s">
        <v>1142</v>
      </c>
      <c r="N999" s="82">
        <v>0</v>
      </c>
    </row>
    <row r="1000" spans="2:14" x14ac:dyDescent="0.25">
      <c r="B1000" s="74" t="s">
        <v>1270</v>
      </c>
      <c r="C1000" s="75">
        <v>34344965</v>
      </c>
      <c r="D1000" s="75" t="s">
        <v>239</v>
      </c>
      <c r="E1000" s="75">
        <v>64</v>
      </c>
      <c r="F1000" s="75" t="s">
        <v>251</v>
      </c>
      <c r="G1000" s="75" t="s">
        <v>247</v>
      </c>
      <c r="H1000" s="75">
        <v>1</v>
      </c>
      <c r="I1000" s="76">
        <v>4846</v>
      </c>
      <c r="J1000" s="75" t="s">
        <v>269</v>
      </c>
      <c r="K1000" s="77">
        <v>0</v>
      </c>
      <c r="L1000" s="78" t="s">
        <v>382</v>
      </c>
      <c r="M1000" s="75" t="s">
        <v>1142</v>
      </c>
      <c r="N1000" s="82">
        <v>0</v>
      </c>
    </row>
    <row r="1001" spans="2:14" x14ac:dyDescent="0.25">
      <c r="B1001" s="74" t="s">
        <v>1271</v>
      </c>
      <c r="C1001" s="75">
        <v>25617731</v>
      </c>
      <c r="D1001" s="75" t="s">
        <v>254</v>
      </c>
      <c r="E1001" s="75">
        <v>44</v>
      </c>
      <c r="F1001" s="75" t="s">
        <v>240</v>
      </c>
      <c r="G1001" s="75" t="s">
        <v>258</v>
      </c>
      <c r="H1001" s="75">
        <v>2</v>
      </c>
      <c r="I1001" s="76">
        <v>9346</v>
      </c>
      <c r="J1001" s="75" t="s">
        <v>248</v>
      </c>
      <c r="K1001" s="77">
        <v>0</v>
      </c>
      <c r="L1001" s="78" t="s">
        <v>382</v>
      </c>
      <c r="M1001" s="75" t="s">
        <v>1142</v>
      </c>
      <c r="N1001" s="82">
        <v>0</v>
      </c>
    </row>
    <row r="1002" spans="2:14" x14ac:dyDescent="0.25">
      <c r="B1002" s="74" t="s">
        <v>1272</v>
      </c>
      <c r="C1002" s="75">
        <v>29088915</v>
      </c>
      <c r="D1002" s="75" t="s">
        <v>254</v>
      </c>
      <c r="E1002" s="75">
        <v>63</v>
      </c>
      <c r="F1002" s="75" t="s">
        <v>246</v>
      </c>
      <c r="G1002" s="75" t="s">
        <v>241</v>
      </c>
      <c r="H1002" s="75">
        <v>3</v>
      </c>
      <c r="I1002" s="76">
        <v>8213</v>
      </c>
      <c r="J1002" s="75" t="s">
        <v>262</v>
      </c>
      <c r="K1002" s="77">
        <v>0</v>
      </c>
      <c r="L1002" s="78" t="s">
        <v>382</v>
      </c>
      <c r="M1002" s="75" t="s">
        <v>1142</v>
      </c>
      <c r="N1002" s="82">
        <v>0</v>
      </c>
    </row>
  </sheetData>
  <sortState ref="B3:N1002">
    <sortCondition ref="M5:M1002"/>
  </sortState>
  <mergeCells count="17">
    <mergeCell ref="P2:T2"/>
    <mergeCell ref="T6:T8"/>
    <mergeCell ref="P11:S14"/>
    <mergeCell ref="T12:T14"/>
    <mergeCell ref="P17:S20"/>
    <mergeCell ref="T18:T20"/>
    <mergeCell ref="P23:S27"/>
    <mergeCell ref="T26:T27"/>
    <mergeCell ref="P5:S8"/>
    <mergeCell ref="P51:S55"/>
    <mergeCell ref="T54:T55"/>
    <mergeCell ref="P30:S34"/>
    <mergeCell ref="T33:T34"/>
    <mergeCell ref="P37:S41"/>
    <mergeCell ref="T40:T41"/>
    <mergeCell ref="P44:S48"/>
    <mergeCell ref="T47:T48"/>
  </mergeCells>
  <conditionalFormatting sqref="D3:D1002">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DD7704BC-2B60-4455-854D-2F94120C9F93}">
            <x14:iconSet iconSet="3Stars">
              <x14:cfvo type="percent">
                <xm:f>0</xm:f>
              </x14:cfvo>
              <x14:cfvo type="percent">
                <xm:f>33</xm:f>
              </x14:cfvo>
              <x14:cfvo type="percent">
                <xm:f>67</xm:f>
              </x14:cfvo>
            </x14:iconSet>
          </x14:cfRule>
          <xm:sqref>H3:H1002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F34" sqref="F34"/>
    </sheetView>
  </sheetViews>
  <sheetFormatPr baseColWidth="10" defaultColWidth="11.4257812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TEMA</vt:lpstr>
      <vt:lpstr>∑ Autosuma</vt:lpstr>
      <vt:lpstr>1</vt:lpstr>
      <vt:lpstr>2</vt:lpstr>
      <vt:lpstr>3</vt:lpstr>
      <vt:lpstr>4</vt:lpstr>
      <vt:lpstr>5</vt:lpstr>
      <vt:lpstr>GRUPAL</vt:lpstr>
      <vt:lpstr>TECLADO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LAB-USR-LSUR</cp:lastModifiedBy>
  <cp:revision/>
  <dcterms:created xsi:type="dcterms:W3CDTF">2020-05-06T19:57:59Z</dcterms:created>
  <dcterms:modified xsi:type="dcterms:W3CDTF">2026-04-24T21:56:41Z</dcterms:modified>
  <cp:category/>
  <cp:contentStatus/>
</cp:coreProperties>
</file>